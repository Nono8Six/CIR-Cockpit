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44d4ff56a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nomotics" sheetId="1" r:id="Raac983a6298f4dab"/>
    <x:sheet xmlns:r="http://schemas.openxmlformats.org/officeDocument/2006/relationships" name="Leroy-Somer" sheetId="2" r:id="R95d779ae1ea24a08"/>
    <x:sheet xmlns:r="http://schemas.openxmlformats.org/officeDocument/2006/relationships" name="Bonfiglioli" sheetId="3" r:id="Rdb04668d2a934b6e"/>
    <x:sheet xmlns:r="http://schemas.openxmlformats.org/officeDocument/2006/relationships" name="Apports validés" sheetId="4" r:id="Rf6924385c1e14554"/>
    <x:sheet xmlns:r="http://schemas.openxmlformats.org/officeDocument/2006/relationships" name="Interfaces intégrées" sheetId="5" r:id="R5de7d5911a4f47be"/>
    <x:sheet xmlns:r="http://schemas.openxmlformats.org/officeDocument/2006/relationships" name="Synthèse" sheetId="6" r:id="Rf4c7fc918b3b4b48"/>
    <x:sheet xmlns:r="http://schemas.openxmlformats.org/officeDocument/2006/relationships" name="Glossaire IEC" sheetId="7" r:id="R2f9dc3e44dd74945"/>
    <x:sheet xmlns:r="http://schemas.openxmlformats.org/officeDocument/2006/relationships" name="Sources" sheetId="8" r:id="Rf24d298364a4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6"/>
      <x:name val="Carlito"/>
    </x:font>
    <x:font>
      <x:b/>
      <x:sz val="10"/>
      <x:color rgb="FFFFFFFF"/>
      <x:name val="Carlito"/>
    </x:font>
    <x:font>
      <x:sz val="9"/>
      <x:color rgb="FF24313D"/>
      <x:name val="Carlito"/>
    </x:font>
    <x:font>
      <x:i/>
      <x:sz val="11"/>
      <x:color rgb="FF5F6B76"/>
      <x:name val="Carlito"/>
    </x:font>
    <x:font>
      <x:b/>
      <x:sz val="11"/>
      <x:color rgb="FFFFFFFF"/>
      <x:name val="Carlito"/>
    </x:font>
    <x:font>
      <x:b/>
      <x:sz val="11"/>
      <x:color rgb="FF6B5510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7A253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FF4CC"/>
      </x:patternFill>
    </x:fill>
    <x:fill>
      <x:patternFill patternType="solid">
        <x:fgColor rgb="FFF3F5F7"/>
      </x:patternFill>
    </x:fill>
    <x:fill>
      <x:patternFill patternType="solid">
        <x:fgColor rgb="FFFBE4E6"/>
      </x:patternFill>
    </x:fill>
  </x:fills>
  <x:borders count="7">
    <x:border/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bottom style="thin">
        <x:color rgb="FFD7DEE5"/>
      </x:bottom>
    </x:border>
    <x:border>
      <x:top style="thin">
        <x:color rgb="FFD7DEE5"/>
      </x:top>
    </x:border>
    <x:border>
      <x:top style="medium">
        <x:color rgb="FF19324D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4" fillId="6" borderId="4" xfId="0" applyNumberFormat="1" applyFont="1" applyFill="1" applyBorder="1" applyAlignment="1">
      <x:alignment vertical="top"/>
    </x:xf>
    <x:xf numFmtId="0" fontId="4" fillId="7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/>
    </x:xf>
    <x:xf numFmtId="0" fontId="4" fillId="6" borderId="2" xfId="0" applyNumberFormat="1" applyFont="1" applyFill="1" applyBorder="1" applyAlignment="1">
      <x:alignment vertical="top"/>
    </x:xf>
    <x:xf numFmtId="0" fontId="4" fillId="7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6" xfId="0" applyNumberFormat="1" applyFont="1" applyFill="1" applyBorder="1"/>
    <x:xf numFmtId="0" fontId="6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285B2D"/>
      </x:font>
      <x:fill>
        <x:patternFill patternType="solid">
          <x:bgColor rgb="FFE7F4E8"/>
        </x:patternFill>
      </x:fill>
    </x:dxf>
    <x:dxf>
      <x:font>
        <x:b/>
        <x:color rgb="FF2F6B9A"/>
      </x:font>
      <x:fill>
        <x:patternFill patternType="solid">
          <x:bgColor rgb="FFEAF2F8"/>
        </x:patternFill>
      </x:fill>
    </x:dxf>
    <x:dxf>
      <x:font>
        <x:b/>
        <x:color rgb="FF8B2635"/>
      </x:font>
      <x:fill>
        <x:patternFill patternType="solid">
          <x:bgColor rgb="FFFBE4E6"/>
        </x:patternFill>
      </x:fill>
    </x:dxf>
    <x:dxf>
      <x:font>
        <x:b/>
        <x:color rgb="FF285B2D"/>
      </x:font>
      <x:fill>
        <x:patternFill patternType="solid">
          <x:bgColor rgb="FFE7F4E8"/>
        </x:patternFill>
      </x:fill>
    </x:dxf>
    <x:dxf>
      <x:font>
        <x:b/>
        <x:color rgb="FF2F6B9A"/>
      </x:font>
      <x:fill>
        <x:patternFill patternType="solid">
          <x:bgColor rgb="FFEAF2F8"/>
        </x:patternFill>
      </x:fill>
    </x:dxf>
    <x:dxf>
      <x:font>
        <x:b/>
        <x:color rgb="FF8B2635"/>
      </x:font>
      <x:fill>
        <x:patternFill patternType="solid">
          <x:bgColor rgb="FFFBE4E6"/>
        </x:patternFill>
      </x:fill>
    </x:dxf>
    <x:dxf>
      <x:font>
        <x:b/>
        <x:color rgb="FF285B2D"/>
      </x:font>
      <x:fill>
        <x:patternFill patternType="solid">
          <x:bgColor rgb="FFE7F4E8"/>
        </x:patternFill>
      </x:fill>
    </x:dxf>
    <x:dxf>
      <x:font>
        <x:b/>
        <x:color rgb="FF2F6B9A"/>
      </x:font>
      <x:fill>
        <x:patternFill patternType="solid">
          <x:bgColor rgb="FFEAF2F8"/>
        </x:patternFill>
      </x:fill>
    </x:dxf>
    <x:dxf>
      <x:font>
        <x:b/>
        <x:color rgb="FF8B2635"/>
      </x:font>
      <x:fill>
        <x:patternFill patternType="solid">
          <x:bgColor rgb="FFFB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db2d5aa404875" /><Relationship Type="http://schemas.openxmlformats.org/officeDocument/2006/relationships/theme" Target="/xl/theme/theme1.xml" Id="R6e76adcc45c64044" /><Relationship Type="http://schemas.openxmlformats.org/officeDocument/2006/relationships/sharedStrings" Target="/xl/sharedStrings.xml" Id="R136633c18b0744eb" /><Relationship Type="http://schemas.openxmlformats.org/officeDocument/2006/relationships/worksheet" Target="/xl/worksheets/sheet1.xml" Id="Raac983a6298f4dab" /><Relationship Type="http://schemas.openxmlformats.org/officeDocument/2006/relationships/worksheet" Target="/xl/worksheets/sheet2.xml" Id="R95d779ae1ea24a08" /><Relationship Type="http://schemas.openxmlformats.org/officeDocument/2006/relationships/worksheet" Target="/xl/worksheets/sheet3.xml" Id="Rdb04668d2a934b6e" /><Relationship Type="http://schemas.openxmlformats.org/officeDocument/2006/relationships/worksheet" Target="/xl/worksheets/sheet4.xml" Id="Rf6924385c1e14554" /><Relationship Type="http://schemas.openxmlformats.org/officeDocument/2006/relationships/worksheet" Target="/xl/worksheets/sheet5.xml" Id="R5de7d5911a4f47be" /><Relationship Type="http://schemas.openxmlformats.org/officeDocument/2006/relationships/worksheet" Target="/xl/worksheets/sheet6.xml" Id="Rf4c7fc918b3b4b48" /><Relationship Type="http://schemas.openxmlformats.org/officeDocument/2006/relationships/worksheet" Target="/xl/worksheets/sheet7.xml" Id="R2f9dc3e44dd74945" /><Relationship Type="http://schemas.openxmlformats.org/officeDocument/2006/relationships/worksheet" Target="/xl/worksheets/sheet8.xml" Id="Rf24d298364a440d4" /></Relationships>
</file>

<file path=xl/tables/table1.xml><?xml version="1.0" encoding="utf-8"?>
<x:table xmlns:x="http://schemas.openxmlformats.org/spreadsheetml/2006/main" id="1" name="InnomoticsReviewTable" displayName="InnomoticsReviewTable" ref="A4:AM5" headerRowCount="1" totalsRowCount="0" totalsRowShown="0">
  <x:autoFilter ref="A4:AM5"/>
  <x:tableColumns count="39">
    <x:tableColumn id="1" name="Statut"/>
    <x:tableColumn id="2" name="Série"/>
    <x:tableColumn id="3" name="Désignation / produit"/>
    <x:tableColumn id="4" name="Réf. article / discriminant DB"/>
    <x:tableColumn id="5" name="Pôles"/>
    <x:tableColumn id="6" name="Technologie"/>
    <x:tableColumn id="7" name="Carcasse"/>
    <x:tableColumn id="8" name="Montages DB"/>
    <x:tableColumn id="9" name="Pages déjà sourcées"/>
    <x:tableColumn id="10" name="Pages suggérées à vérifier"/>
    <x:tableColumn id="11" name="A DB (mm)"/>
    <x:tableColumn id="12" name="A vérifiée"/>
    <x:tableColumn id="13" name="B DB (mm)"/>
    <x:tableColumn id="14" name="B vérifiée"/>
    <x:tableColumn id="15" name="C DB (mm)"/>
    <x:tableColumn id="16" name="C vérifiée"/>
    <x:tableColumn id="17" name="H DB (mm)"/>
    <x:tableColumn id="18" name="H vérifiée"/>
    <x:tableColumn id="19" name="K DB (mm)"/>
    <x:tableColumn id="20" name="K vérifiée"/>
    <x:tableColumn id="21" name="D DB (mm)"/>
    <x:tableColumn id="22" name="D vérifiée"/>
    <x:tableColumn id="23" name="E DB (mm)"/>
    <x:tableColumn id="24" name="E vérifiée"/>
    <x:tableColumn id="25" name="F DB (mm)"/>
    <x:tableColumn id="26" name="F vérifiée"/>
    <x:tableColumn id="27" name="Cotes absentes en DB"/>
    <x:tableColumn id="28" name="M DB"/>
    <x:tableColumn id="29" name="N DB"/>
    <x:tableColumn id="30" name="P DB"/>
    <x:tableColumn id="31" name="S DB"/>
    <x:tableColumn id="32" name="T DB"/>
    <x:tableColumn id="33" name="Z DB"/>
    <x:tableColumn id="34" name="Brides : vérification / correction"/>
    <x:tableColumn id="35" name="Applicabilité IEC"/>
    <x:tableColumn id="36" name="PDF utilisé"/>
    <x:tableColumn id="37" name="Page vérifiée"/>
    <x:tableColumn id="38" name="Commentaire"/>
    <x:tableColumn id="39" name="model_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roySomerReviewTable" displayName="LeroySomerReviewTable" ref="A4:AM6" headerRowCount="1" totalsRowCount="0" totalsRowShown="0">
  <x:autoFilter ref="A4:AM6"/>
  <x:tableColumns count="39">
    <x:tableColumn id="1" name="Statut"/>
    <x:tableColumn id="2" name="Série"/>
    <x:tableColumn id="3" name="Désignation / produit"/>
    <x:tableColumn id="4" name="Réf. article / discriminant DB"/>
    <x:tableColumn id="5" name="Pôles"/>
    <x:tableColumn id="6" name="Technologie"/>
    <x:tableColumn id="7" name="Carcasse"/>
    <x:tableColumn id="8" name="Montages DB"/>
    <x:tableColumn id="9" name="Pages déjà sourcées"/>
    <x:tableColumn id="10" name="Pages suggérées à vérifier"/>
    <x:tableColumn id="11" name="A DB (mm)"/>
    <x:tableColumn id="12" name="A vérifiée"/>
    <x:tableColumn id="13" name="B DB (mm)"/>
    <x:tableColumn id="14" name="B vérifiée"/>
    <x:tableColumn id="15" name="C DB (mm)"/>
    <x:tableColumn id="16" name="C vérifiée"/>
    <x:tableColumn id="17" name="H DB (mm)"/>
    <x:tableColumn id="18" name="H vérifiée"/>
    <x:tableColumn id="19" name="K DB (mm)"/>
    <x:tableColumn id="20" name="K vérifiée"/>
    <x:tableColumn id="21" name="D DB (mm)"/>
    <x:tableColumn id="22" name="D vérifiée"/>
    <x:tableColumn id="23" name="E DB (mm)"/>
    <x:tableColumn id="24" name="E vérifiée"/>
    <x:tableColumn id="25" name="F DB (mm)"/>
    <x:tableColumn id="26" name="F vérifiée"/>
    <x:tableColumn id="27" name="Cotes absentes en DB"/>
    <x:tableColumn id="28" name="M DB"/>
    <x:tableColumn id="29" name="N DB"/>
    <x:tableColumn id="30" name="P DB"/>
    <x:tableColumn id="31" name="S DB"/>
    <x:tableColumn id="32" name="T DB"/>
    <x:tableColumn id="33" name="Z DB"/>
    <x:tableColumn id="34" name="Brides : vérification / correction"/>
    <x:tableColumn id="35" name="Applicabilité IEC"/>
    <x:tableColumn id="36" name="PDF utilisé"/>
    <x:tableColumn id="37" name="Page vérifiée"/>
    <x:tableColumn id="38" name="Commentaire"/>
    <x:tableColumn id="39" name="model_ke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nfiglioliReviewTable" displayName="BonfiglioliReviewTable" ref="A4:AM119" headerRowCount="1" totalsRowCount="0" totalsRowShown="0">
  <x:autoFilter ref="A4:AM119"/>
  <x:tableColumns count="39">
    <x:tableColumn id="1" name="Statut"/>
    <x:tableColumn id="2" name="Série"/>
    <x:tableColumn id="3" name="Désignation / produit"/>
    <x:tableColumn id="4" name="Réf. article / discriminant DB"/>
    <x:tableColumn id="5" name="Pôles"/>
    <x:tableColumn id="6" name="Technologie"/>
    <x:tableColumn id="7" name="Carcasse"/>
    <x:tableColumn id="8" name="Montages DB"/>
    <x:tableColumn id="9" name="Pages déjà sourcées"/>
    <x:tableColumn id="10" name="Pages suggérées à vérifier"/>
    <x:tableColumn id="11" name="A DB (mm)"/>
    <x:tableColumn id="12" name="A vérifiée"/>
    <x:tableColumn id="13" name="B DB (mm)"/>
    <x:tableColumn id="14" name="B vérifiée"/>
    <x:tableColumn id="15" name="C DB (mm)"/>
    <x:tableColumn id="16" name="C vérifiée"/>
    <x:tableColumn id="17" name="H DB (mm)"/>
    <x:tableColumn id="18" name="H vérifiée"/>
    <x:tableColumn id="19" name="K DB (mm)"/>
    <x:tableColumn id="20" name="K vérifiée"/>
    <x:tableColumn id="21" name="D DB (mm)"/>
    <x:tableColumn id="22" name="D vérifiée"/>
    <x:tableColumn id="23" name="E DB (mm)"/>
    <x:tableColumn id="24" name="E vérifiée"/>
    <x:tableColumn id="25" name="F DB (mm)"/>
    <x:tableColumn id="26" name="F vérifiée"/>
    <x:tableColumn id="27" name="Cotes absentes en DB"/>
    <x:tableColumn id="28" name="M DB"/>
    <x:tableColumn id="29" name="N DB"/>
    <x:tableColumn id="30" name="P DB"/>
    <x:tableColumn id="31" name="S DB"/>
    <x:tableColumn id="32" name="T DB"/>
    <x:tableColumn id="33" name="Z DB"/>
    <x:tableColumn id="34" name="Brides : vérification / correction"/>
    <x:tableColumn id="35" name="Applicabilité IEC"/>
    <x:tableColumn id="36" name="PDF utilisé"/>
    <x:tableColumn id="37" name="Page vérifiée"/>
    <x:tableColumn id="38" name="Commentaire"/>
    <x:tableColumn id="39" name="model_ke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gratedInterfacesTable" displayName="IntegratedInterfacesTable" ref="A4:T113" headerRowCount="1" totalsRowCount="0" totalsRowShown="0">
  <x:autoFilter ref="A4:T113"/>
  <x:tableColumns count="20">
    <x:tableColumn id="1" name="Série"/>
    <x:tableColumn id="2" name="Produit"/>
    <x:tableColumn id="3" name="Discriminant DB"/>
    <x:tableColumn id="4" name="Pôles"/>
    <x:tableColumn id="5" name="Nature mécanique"/>
    <x:tableColumn id="6" name="Pages source"/>
    <x:tableColumn id="7" name="AC"/>
    <x:tableColumn id="8" name="AD"/>
    <x:tableColumn id="9" name="AF"/>
    <x:tableColumn id="10" name="DA"/>
    <x:tableColumn id="11" name="DB"/>
    <x:tableColumn id="12" name="EA"/>
    <x:tableColumn id="13" name="FA"/>
    <x:tableColumn id="14" name="GC"/>
    <x:tableColumn id="15" name="J"/>
    <x:tableColumn id="16" name="LB"/>
    <x:tableColumn id="17" name="LC"/>
    <x:tableColumn id="18" name="LL"/>
    <x:tableColumn id="19" name="R"/>
    <x:tableColumn id="20" name="model_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7d6d19b01f47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ae2c4531544f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00aac7e88e4f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9c812f5fc246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22" hidden="0" customWidth="1"/>
    <x:col min="5" max="5" width="10" hidden="0" customWidth="1"/>
    <x:col min="6" max="6" width="15" hidden="0" customWidth="1"/>
    <x:col min="7" max="7" width="10" hidden="0" customWidth="1"/>
    <x:col min="8" max="8" width="16" hidden="0" customWidth="1"/>
    <x:col min="9" max="9" width="34" hidden="0" customWidth="1"/>
    <x:col min="10" max="10" width="38" hidden="0" customWidth="1"/>
    <x:col min="11" max="11" width="15" hidden="0" customWidth="1"/>
    <x:col min="12" max="12" width="13" hidden="0" customWidth="1"/>
    <x:col min="13" max="13" width="15" hidden="0" customWidth="1"/>
    <x:col min="14" max="14" width="13" hidden="0" customWidth="1"/>
    <x:col min="15" max="15" width="15" hidden="0" customWidth="1"/>
    <x:col min="16" max="16" width="13" hidden="0" customWidth="1"/>
    <x:col min="17" max="17" width="15" hidden="0" customWidth="1"/>
    <x:col min="18" max="18" width="13" hidden="0" customWidth="1"/>
    <x:col min="19" max="19" width="15" hidden="0" customWidth="1"/>
    <x:col min="20" max="20" width="13" hidden="0" customWidth="1"/>
    <x:col min="21" max="21" width="15" hidden="0" customWidth="1"/>
    <x:col min="22" max="22" width="13" hidden="0" customWidth="1"/>
    <x:col min="23" max="23" width="15" hidden="0" customWidth="1"/>
    <x:col min="24" max="24" width="13" hidden="0" customWidth="1"/>
    <x:col min="25" max="25" width="15" hidden="0" customWidth="1"/>
    <x:col min="26" max="26" width="13" hidden="0" customWidth="1"/>
    <x:col min="27" max="27" width="20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8" hidden="0" customWidth="1"/>
    <x:col min="35" max="35" width="20" hidden="0" customWidth="1"/>
    <x:col min="36" max="36" width="28" hidden="0" customWidth="1"/>
    <x:col min="37" max="37" width="14" hidden="0" customWidth="1"/>
    <x:col min="38" max="38" width="32" hidden="0" customWidth="1"/>
    <x:col min="39" max="39" width="42" hidden="0" customWidth="1"/>
  </x:cols>
  <x:sheetData>
    <x:row r="1" ht="30" customHeight="1">
      <x:c r="A1" s="3" t="str">
        <x:v>Contrôle des dimensions IEC - Innomotics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</x:row>
    <x:row r="2" ht="38" customHeight="1">
      <x:c r="A2" s="7" t="str">
        <x:v>Une ligne = un modèle technique du candidat C2c présentant au moins une cote IEC A/B/C/H/K/D/E/F absente. Les colonnes jaunes sont à renseigner depuis le PDF. Ne jamais recopier une valeur d’un modèle voisin sans preuve documentaire.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</x:row>
    <x:row r="4" ht="42" customHeight="1">
      <x:c r="A4" s="19" t="str">
        <x:v>Statut</x:v>
      </x:c>
      <x:c r="B4" s="20" t="str">
        <x:v>Série</x:v>
      </x:c>
      <x:c r="C4" s="20" t="str">
        <x:v>Désignation / produit</x:v>
      </x:c>
      <x:c r="D4" s="20" t="str">
        <x:v>Réf. article / discriminant DB</x:v>
      </x:c>
      <x:c r="E4" s="20" t="str">
        <x:v>Pôles</x:v>
      </x:c>
      <x:c r="F4" s="20" t="str">
        <x:v>Technologie</x:v>
      </x:c>
      <x:c r="G4" s="20" t="str">
        <x:v>Carcasse</x:v>
      </x:c>
      <x:c r="H4" s="20" t="str">
        <x:v>Montages DB</x:v>
      </x:c>
      <x:c r="I4" s="20" t="str">
        <x:v>Pages déjà sourcées</x:v>
      </x:c>
      <x:c r="J4" s="20" t="str">
        <x:v>Pages suggérées à vérifier</x:v>
      </x:c>
      <x:c r="K4" s="20" t="str">
        <x:v>A DB (mm)</x:v>
      </x:c>
      <x:c r="L4" s="20" t="str">
        <x:v>A vérifiée</x:v>
      </x:c>
      <x:c r="M4" s="20" t="str">
        <x:v>B DB (mm)</x:v>
      </x:c>
      <x:c r="N4" s="20" t="str">
        <x:v>B vérifiée</x:v>
      </x:c>
      <x:c r="O4" s="20" t="str">
        <x:v>C DB (mm)</x:v>
      </x:c>
      <x:c r="P4" s="20" t="str">
        <x:v>C vérifiée</x:v>
      </x:c>
      <x:c r="Q4" s="20" t="str">
        <x:v>H DB (mm)</x:v>
      </x:c>
      <x:c r="R4" s="20" t="str">
        <x:v>H vérifiée</x:v>
      </x:c>
      <x:c r="S4" s="20" t="str">
        <x:v>K DB (mm)</x:v>
      </x:c>
      <x:c r="T4" s="20" t="str">
        <x:v>K vérifiée</x:v>
      </x:c>
      <x:c r="U4" s="20" t="str">
        <x:v>D DB (mm)</x:v>
      </x:c>
      <x:c r="V4" s="20" t="str">
        <x:v>D vérifiée</x:v>
      </x:c>
      <x:c r="W4" s="20" t="str">
        <x:v>E DB (mm)</x:v>
      </x:c>
      <x:c r="X4" s="20" t="str">
        <x:v>E vérifiée</x:v>
      </x:c>
      <x:c r="Y4" s="20" t="str">
        <x:v>F DB (mm)</x:v>
      </x:c>
      <x:c r="Z4" s="20" t="str">
        <x:v>F vérifiée</x:v>
      </x:c>
      <x:c r="AA4" s="20" t="str">
        <x:v>Cotes absentes en DB</x:v>
      </x:c>
      <x:c r="AB4" s="20" t="str">
        <x:v>M DB</x:v>
      </x:c>
      <x:c r="AC4" s="20" t="str">
        <x:v>N DB</x:v>
      </x:c>
      <x:c r="AD4" s="20" t="str">
        <x:v>P DB</x:v>
      </x:c>
      <x:c r="AE4" s="20" t="str">
        <x:v>S DB</x:v>
      </x:c>
      <x:c r="AF4" s="20" t="str">
        <x:v>T DB</x:v>
      </x:c>
      <x:c r="AG4" s="20" t="str">
        <x:v>Z DB</x:v>
      </x:c>
      <x:c r="AH4" s="20" t="str">
        <x:v>Brides : vérification / correction</x:v>
      </x:c>
      <x:c r="AI4" s="20" t="str">
        <x:v>Applicabilité IEC</x:v>
      </x:c>
      <x:c r="AJ4" s="20" t="str">
        <x:v>PDF utilisé</x:v>
      </x:c>
      <x:c r="AK4" s="20" t="str">
        <x:v>Page vérifiée</x:v>
      </x:c>
      <x:c r="AL4" s="20" t="str">
        <x:v>Commentaire</x:v>
      </x:c>
      <x:c r="AM4" s="21" t="str">
        <x:v>model_key</x:v>
      </x:c>
    </x:row>
    <x:row r="5">
      <x:c r="A5" s="24" t="str">
        <x:v>À vérifier</x:v>
      </x:c>
      <x:c r="B5" s="24" t="str">
        <x:v>1LE1003</x:v>
      </x:c>
      <x:c r="C5" s="24" t="str">
        <x:v>1LE1003-1BD2</x:v>
      </x:c>
      <x:c r="D5" s="24" t="str">
        <x:v>1LE1003-1BD2</x:v>
      </x:c>
      <x:c r="E5" s="24" t="str">
        <x:v>8</x:v>
      </x:c>
      <x:c r="F5" s="24" t="str">
        <x:v>asynchronous</x:v>
      </x:c>
      <x:c r="G5" s="24" t="n">
        <x:v>112</x:v>
      </x:c>
      <x:c r="H5" s="25" t="str">
        <x:v>B5, B14, B34, B35</x:v>
      </x:c>
      <x:c r="I5" s="25" t="str">
        <x:v>Catalogue_Moteur_Innomotics.pdf p.66 | Catalogue_Moteur_Innomotics.pdf p.299</x:v>
      </x:c>
      <x:c r="J5" s="25" t="str">
        <x:v>PDF 161 produit ; PDF 298-299 dimensions</x:v>
      </x:c>
      <x:c r="K5" s="25" t="str"/>
      <x:c r="L5" s="26" t="str"/>
      <x:c r="M5" s="25" t="str"/>
      <x:c r="N5" s="26" t="str"/>
      <x:c r="O5" s="25" t="str"/>
      <x:c r="P5" s="26" t="str"/>
      <x:c r="Q5" s="25" t="str"/>
      <x:c r="R5" s="26" t="str"/>
      <x:c r="S5" s="25" t="str"/>
      <x:c r="T5" s="26" t="str"/>
      <x:c r="U5" s="25" t="str">
        <x:v>8P:28</x:v>
      </x:c>
      <x:c r="V5" s="26" t="str"/>
      <x:c r="W5" s="25" t="str">
        <x:v>8P:60</x:v>
      </x:c>
      <x:c r="X5" s="26" t="str"/>
      <x:c r="Y5" s="25" t="str">
        <x:v>8P:8</x:v>
      </x:c>
      <x:c r="Z5" s="26" t="str"/>
      <x:c r="AA5" s="29" t="str">
        <x:f>TRIM(IF(K5="","A ","")&amp;IF(M5="","B ","")&amp;IF(O5="","C ","")&amp;IF(Q5="","H ","")&amp;IF(S5="","K ","")&amp;IF(U5="","D ","")&amp;IF(W5="","E ","")&amp;IF(Y5="","F",""))</x:f>
        <x:v>A B C H K</x:v>
      </x:c>
      <x:c r="AB5" s="25" t="str">
        <x:v>B5/larger/FF265:265 | B5/smaller/FF165:165 | B5/standard/FF215:215 | B14/larger/FT165:165 | B14/smaller/FT115:115 | B14/standard/FT130:130 | B34/larger/FT165:165 | B34/smaller/FT115:115 | B34/standard/FT130:130 | B35/larger/FF265:265 | B35/smaller/FF165:165 | B35/standard/FF215:215</x:v>
      </x:c>
      <x:c r="AC5" s="25" t="str">
        <x:v>B5/larger/FF265:230 | B5/smaller/FF165:130 | B5/standard/FF215:180 | B14/larger/FT165:130 | B14/smaller/FT115:95 | B14/standard/FT130:110 | B34/larger/FT165:130 | B34/smaller/FT115:95 | B34/standard/FT130:110 | B35/larger/FF265:230 | B35/smaller/FF165:130 | B35/standard/FF215:180</x:v>
      </x:c>
      <x:c r="AD5" s="25" t="str">
        <x:v>B5/larger/FF265:300 | B5/smaller/FF165:200 | B5/standard/FF215:250 | B14/larger/FT165:200 | B14/smaller/FT115:140 | B14/standard/FT130:160 | B34/larger/FT165:200 | B34/smaller/FT115:140 | B34/standard/FT130:160 | B35/larger/FF265:300 | B35/smaller/FF165:200 | B35/standard/FF215:250</x:v>
      </x:c>
      <x:c r="AE5" s="25" t="str">
        <x:v>B5/larger/FF265:14.5 | B5/smaller/FF165:12 | B5/standard/FF215:14.5 | B14/larger/FT165:M10 | B14/smaller/FT115:M8 | B14/standard/FT130:M8 | B34/larger/FT165:M10 | B34/smaller/FT115:M8 | B34/standard/FT130:M8 | B35/larger/FF265:14.5 | B35/smaller/FF165:12 | B35/standard/FF215:14.5</x:v>
      </x:c>
      <x:c r="AF5" s="25" t="str">
        <x:v>B5/larger/FF265:4 | B5/smaller/FF165:3.5 | B5/standard/FF215:4 | B14/larger/FT165:3.5 | B14/smaller/FT115:3 | B14/standard/FT130:3.5 | B34/larger/FT165:3.5 | B34/smaller/FT115:3 | B34/standard/FT130:3.5 | B35/larger/FF265:4 | B35/smaller/FF165:3.5 | B35/standard/FF215:4</x:v>
      </x:c>
      <x:c r="AG5" s="25" t="str">
        <x:v>B5/larger/FF265:4 | B5/smaller/FF165:4 | B5/standard/FF215:4 | B14/larger/FT165:4 | B14/smaller/FT115:4 | B14/standard/FT130:4 | B34/larger/FT165:4 | B34/smaller/FT115:4 | B34/standard/FT130:4 | B35/larger/FF265:4 | B35/smaller/FF165:4 | B35/standard/FF215:4</x:v>
      </x:c>
      <x:c r="AH5" s="27" t="str"/>
      <x:c r="AI5" s="27" t="str">
        <x:v>À confirmer</x:v>
      </x:c>
      <x:c r="AJ5" s="27" t="str"/>
      <x:c r="AK5" s="27" t="str"/>
      <x:c r="AL5" s="27" t="str"/>
      <x:c r="AM5" s="28" t="str">
        <x:v>innomotics:1le10031bd2:j-0p028-m-34</x:v>
      </x:c>
    </x:row>
  </x:sheetData>
  <x:mergeCells>
    <x:mergeCell ref="A1:AM1"/>
    <x:mergeCell ref="A2:AM2"/>
  </x:mergeCells>
  <x:conditionalFormatting sqref="A5:A5">
    <x:cfRule type="containsText" dxfId="0" priority="1" operator="containsText" text="Confirmé"/>
    <x:cfRule type="containsText" dxfId="1" priority="2" operator="containsText" text="Corrigé"/>
    <x:cfRule type="containsText" dxfId="2" priority="3" operator="containsText" text="Catalogue manquant"/>
  </x:conditionalFormatting>
  <x:dataValidations count="2">
    <x:dataValidation type="list" sqref="A5">
      <x:formula1>"À vérifier,Confirmé,Corrigé,Non applicable,Catalogue manquant"</x:formula1>
    </x:dataValidation>
    <x:dataValidation type="list" sqref="AI5">
      <x:formula1>"À confirmer,Applicable,Non applicable,Interface constructeur,Dépend du montage"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7d6d19b01f47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22" hidden="0" customWidth="1"/>
    <x:col min="5" max="5" width="10" hidden="0" customWidth="1"/>
    <x:col min="6" max="6" width="15" hidden="0" customWidth="1"/>
    <x:col min="7" max="7" width="10" hidden="0" customWidth="1"/>
    <x:col min="8" max="8" width="16" hidden="0" customWidth="1"/>
    <x:col min="9" max="9" width="34" hidden="0" customWidth="1"/>
    <x:col min="10" max="10" width="38" hidden="0" customWidth="1"/>
    <x:col min="11" max="11" width="15" hidden="0" customWidth="1"/>
    <x:col min="12" max="12" width="13" hidden="0" customWidth="1"/>
    <x:col min="13" max="13" width="15" hidden="0" customWidth="1"/>
    <x:col min="14" max="14" width="13" hidden="0" customWidth="1"/>
    <x:col min="15" max="15" width="15" hidden="0" customWidth="1"/>
    <x:col min="16" max="16" width="13" hidden="0" customWidth="1"/>
    <x:col min="17" max="17" width="15" hidden="0" customWidth="1"/>
    <x:col min="18" max="18" width="13" hidden="0" customWidth="1"/>
    <x:col min="19" max="19" width="15" hidden="0" customWidth="1"/>
    <x:col min="20" max="20" width="13" hidden="0" customWidth="1"/>
    <x:col min="21" max="21" width="15" hidden="0" customWidth="1"/>
    <x:col min="22" max="22" width="13" hidden="0" customWidth="1"/>
    <x:col min="23" max="23" width="15" hidden="0" customWidth="1"/>
    <x:col min="24" max="24" width="13" hidden="0" customWidth="1"/>
    <x:col min="25" max="25" width="15" hidden="0" customWidth="1"/>
    <x:col min="26" max="26" width="13" hidden="0" customWidth="1"/>
    <x:col min="27" max="27" width="20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8" hidden="0" customWidth="1"/>
    <x:col min="35" max="35" width="20" hidden="0" customWidth="1"/>
    <x:col min="36" max="36" width="28" hidden="0" customWidth="1"/>
    <x:col min="37" max="37" width="14" hidden="0" customWidth="1"/>
    <x:col min="38" max="38" width="32" hidden="0" customWidth="1"/>
    <x:col min="39" max="39" width="42" hidden="0" customWidth="1"/>
  </x:cols>
  <x:sheetData>
    <x:row r="1" ht="30" customHeight="1">
      <x:c r="A1" s="3" t="str">
        <x:v>Contrôle des dimensions IEC - Leroy-Somer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</x:row>
    <x:row r="2" ht="38" customHeight="1">
      <x:c r="A2" s="7" t="str">
        <x:v>Une ligne = un modèle technique du candidat C2c présentant au moins une cote IEC A/B/C/H/K/D/E/F absente. Les colonnes jaunes sont à renseigner depuis le PDF. Ne jamais recopier une valeur d’un modèle voisin sans preuve documentaire.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</x:row>
    <x:row r="4" ht="42" customHeight="1">
      <x:c r="A4" s="19" t="str">
        <x:v>Statut</x:v>
      </x:c>
      <x:c r="B4" s="20" t="str">
        <x:v>Série</x:v>
      </x:c>
      <x:c r="C4" s="20" t="str">
        <x:v>Désignation / produit</x:v>
      </x:c>
      <x:c r="D4" s="20" t="str">
        <x:v>Réf. article / discriminant DB</x:v>
      </x:c>
      <x:c r="E4" s="20" t="str">
        <x:v>Pôles</x:v>
      </x:c>
      <x:c r="F4" s="20" t="str">
        <x:v>Technologie</x:v>
      </x:c>
      <x:c r="G4" s="20" t="str">
        <x:v>Carcasse</x:v>
      </x:c>
      <x:c r="H4" s="20" t="str">
        <x:v>Montages DB</x:v>
      </x:c>
      <x:c r="I4" s="20" t="str">
        <x:v>Pages déjà sourcées</x:v>
      </x:c>
      <x:c r="J4" s="20" t="str">
        <x:v>Pages suggérées à vérifier</x:v>
      </x:c>
      <x:c r="K4" s="20" t="str">
        <x:v>A DB (mm)</x:v>
      </x:c>
      <x:c r="L4" s="20" t="str">
        <x:v>A vérifiée</x:v>
      </x:c>
      <x:c r="M4" s="20" t="str">
        <x:v>B DB (mm)</x:v>
      </x:c>
      <x:c r="N4" s="20" t="str">
        <x:v>B vérifiée</x:v>
      </x:c>
      <x:c r="O4" s="20" t="str">
        <x:v>C DB (mm)</x:v>
      </x:c>
      <x:c r="P4" s="20" t="str">
        <x:v>C vérifiée</x:v>
      </x:c>
      <x:c r="Q4" s="20" t="str">
        <x:v>H DB (mm)</x:v>
      </x:c>
      <x:c r="R4" s="20" t="str">
        <x:v>H vérifiée</x:v>
      </x:c>
      <x:c r="S4" s="20" t="str">
        <x:v>K DB (mm)</x:v>
      </x:c>
      <x:c r="T4" s="20" t="str">
        <x:v>K vérifiée</x:v>
      </x:c>
      <x:c r="U4" s="20" t="str">
        <x:v>D DB (mm)</x:v>
      </x:c>
      <x:c r="V4" s="20" t="str">
        <x:v>D vérifiée</x:v>
      </x:c>
      <x:c r="W4" s="20" t="str">
        <x:v>E DB (mm)</x:v>
      </x:c>
      <x:c r="X4" s="20" t="str">
        <x:v>E vérifiée</x:v>
      </x:c>
      <x:c r="Y4" s="20" t="str">
        <x:v>F DB (mm)</x:v>
      </x:c>
      <x:c r="Z4" s="20" t="str">
        <x:v>F vérifiée</x:v>
      </x:c>
      <x:c r="AA4" s="20" t="str">
        <x:v>Cotes absentes en DB</x:v>
      </x:c>
      <x:c r="AB4" s="20" t="str">
        <x:v>M DB</x:v>
      </x:c>
      <x:c r="AC4" s="20" t="str">
        <x:v>N DB</x:v>
      </x:c>
      <x:c r="AD4" s="20" t="str">
        <x:v>P DB</x:v>
      </x:c>
      <x:c r="AE4" s="20" t="str">
        <x:v>S DB</x:v>
      </x:c>
      <x:c r="AF4" s="20" t="str">
        <x:v>T DB</x:v>
      </x:c>
      <x:c r="AG4" s="20" t="str">
        <x:v>Z DB</x:v>
      </x:c>
      <x:c r="AH4" s="20" t="str">
        <x:v>Brides : vérification / correction</x:v>
      </x:c>
      <x:c r="AI4" s="20" t="str">
        <x:v>Applicabilité IEC</x:v>
      </x:c>
      <x:c r="AJ4" s="20" t="str">
        <x:v>PDF utilisé</x:v>
      </x:c>
      <x:c r="AK4" s="20" t="str">
        <x:v>Page vérifiée</x:v>
      </x:c>
      <x:c r="AL4" s="20" t="str">
        <x:v>Commentaire</x:v>
      </x:c>
      <x:c r="AM4" s="21" t="str">
        <x:v>model_key</x:v>
      </x:c>
    </x:row>
    <x:row r="5">
      <x:c r="A5" s="24" t="str">
        <x:v>À vérifier</x:v>
      </x:c>
      <x:c r="B5" s="24" t="str">
        <x:v>PLSES</x:v>
      </x:c>
      <x:c r="C5" s="24" t="str">
        <x:v>PLSES 280 MGU</x:v>
      </x:c>
      <x:c r="D5" s="24" t="str">
        <x:v>j-2p29-m-715</x:v>
      </x:c>
      <x:c r="E5" s="24" t="str">
        <x:v>4</x:v>
      </x:c>
      <x:c r="F5" s="24" t="str">
        <x:v>asynchronous</x:v>
      </x:c>
      <x:c r="G5" s="24" t="n">
        <x:v>280</x:v>
      </x:c>
      <x:c r="H5" s="25" t="str">
        <x:v>B5, B35</x:v>
      </x:c>
      <x:c r="I5" s="25" t="str">
        <x:v>Catalogue_LS_LSES.pdf p.124 | Catalogue_LS_LSES.pdf p.125 | Catalogue_LS_LSES.pdf p.126 | Catalogue_LS_LSES.pdf p.127</x:v>
      </x:c>
      <x:c r="J5" s="25" t="str">
        <x:v>Catalogue_LS_LSES.pdf : p.124 arbre ; p.125-127 montages</x:v>
      </x:c>
      <x:c r="K5" s="25" t="str">
        <x:v>commun:457</x:v>
      </x:c>
      <x:c r="L5" s="26" t="str"/>
      <x:c r="M5" s="25" t="str"/>
      <x:c r="N5" s="26" t="str"/>
      <x:c r="O5" s="25" t="str">
        <x:v>commun:190</x:v>
      </x:c>
      <x:c r="P5" s="26" t="str"/>
      <x:c r="Q5" s="25" t="str">
        <x:v>commun:280</x:v>
      </x:c>
      <x:c r="R5" s="26" t="str"/>
      <x:c r="S5" s="25" t="str">
        <x:v>commun:24</x:v>
      </x:c>
      <x:c r="T5" s="26" t="str"/>
      <x:c r="U5" s="25" t="str">
        <x:v>4P:80 | 6P:80</x:v>
      </x:c>
      <x:c r="V5" s="26" t="str"/>
      <x:c r="W5" s="25" t="str">
        <x:v>4P:170 | 6P:170</x:v>
      </x:c>
      <x:c r="X5" s="26" t="str"/>
      <x:c r="Y5" s="25" t="str">
        <x:v>4P:22 | 6P:22</x:v>
      </x:c>
      <x:c r="Z5" s="26" t="str"/>
      <x:c r="AA5" s="29" t="str">
        <x:f>TRIM(IF(K5="","A ","")&amp;IF(M5="","B ","")&amp;IF(O5="","C ","")&amp;IF(Q5="","H ","")&amp;IF(S5="","K ","")&amp;IF(U5="","D ","")&amp;IF(W5="","E ","")&amp;IF(Y5="","F",""))</x:f>
        <x:v>B</x:v>
      </x:c>
      <x:c r="AB5" s="25" t="str">
        <x:v>B5/standard/FF600:600 | B35/standard/FF600:600</x:v>
      </x:c>
      <x:c r="AC5" s="25" t="str">
        <x:v>B5/standard/FF600:550 | B35/standard/FF600:550</x:v>
      </x:c>
      <x:c r="AD5" s="25" t="str">
        <x:v>B5/standard/FF600:660 | B35/standard/FF600:660</x:v>
      </x:c>
      <x:c r="AE5" s="25" t="str">
        <x:v>B5/standard/FF600:22 | B35/standard/FF600:22</x:v>
      </x:c>
      <x:c r="AF5" s="25" t="str">
        <x:v>B5/standard/FF600:6 | B35/standard/FF600:6</x:v>
      </x:c>
      <x:c r="AG5" s="25" t="str">
        <x:v>B5/standard/FF600:8 | B35/standard/FF600:8</x:v>
      </x:c>
      <x:c r="AH5" s="27" t="str"/>
      <x:c r="AI5" s="27" t="str">
        <x:v>À confirmer</x:v>
      </x:c>
      <x:c r="AJ5" s="27" t="str"/>
      <x:c r="AK5" s="27" t="str"/>
      <x:c r="AL5" s="27" t="str"/>
      <x:c r="AM5" s="28" t="str">
        <x:v>leroy-somer:plses280mgu:j-2p29-m-715</x:v>
      </x:c>
    </x:row>
    <x:row r="6">
      <x:c r="A6" s="31" t="str">
        <x:v>À vérifier</x:v>
      </x:c>
      <x:c r="B6" s="31" t="str">
        <x:v>PLSES</x:v>
      </x:c>
      <x:c r="C6" s="31" t="str">
        <x:v>PLSES 280 MGU</x:v>
      </x:c>
      <x:c r="D6" s="31" t="str">
        <x:v>standard</x:v>
      </x:c>
      <x:c r="E6" s="31" t="str">
        <x:v>4</x:v>
      </x:c>
      <x:c r="F6" s="31" t="str">
        <x:v>asynchronous</x:v>
      </x:c>
      <x:c r="G6" s="31" t="n">
        <x:v>280</x:v>
      </x:c>
      <x:c r="H6" s="32" t="str">
        <x:v>B5, B35</x:v>
      </x:c>
      <x:c r="I6" s="32" t="str">
        <x:v>Catalogue_LS_LSES.pdf p.124 | Catalogue_LS_LSES.pdf p.125 | Catalogue_LS_LSES.pdf p.126 | Catalogue_LS_LSES.pdf p.127</x:v>
      </x:c>
      <x:c r="J6" s="32" t="str">
        <x:v>Catalogue_LS_LSES.pdf : p.124 arbre ; p.125-127 montages</x:v>
      </x:c>
      <x:c r="K6" s="32" t="str">
        <x:v>commun:457</x:v>
      </x:c>
      <x:c r="L6" s="33" t="str"/>
      <x:c r="M6" s="32" t="str"/>
      <x:c r="N6" s="33" t="str"/>
      <x:c r="O6" s="32" t="str">
        <x:v>commun:190</x:v>
      </x:c>
      <x:c r="P6" s="33" t="str"/>
      <x:c r="Q6" s="32" t="str">
        <x:v>commun:280</x:v>
      </x:c>
      <x:c r="R6" s="33" t="str"/>
      <x:c r="S6" s="32" t="str">
        <x:v>commun:24</x:v>
      </x:c>
      <x:c r="T6" s="33" t="str"/>
      <x:c r="U6" s="32" t="str">
        <x:v>4P:80 | 6P:80</x:v>
      </x:c>
      <x:c r="V6" s="33" t="str"/>
      <x:c r="W6" s="32" t="str">
        <x:v>4P:170 | 6P:170</x:v>
      </x:c>
      <x:c r="X6" s="33" t="str"/>
      <x:c r="Y6" s="32" t="str">
        <x:v>4P:22 | 6P:22</x:v>
      </x:c>
      <x:c r="Z6" s="33" t="str"/>
      <x:c r="AA6" s="36" t="str">
        <x:f>TRIM(IF(K6="","A ","")&amp;IF(M6="","B ","")&amp;IF(O6="","C ","")&amp;IF(Q6="","H ","")&amp;IF(S6="","K ","")&amp;IF(U6="","D ","")&amp;IF(W6="","E ","")&amp;IF(Y6="","F",""))</x:f>
        <x:v>B</x:v>
      </x:c>
      <x:c r="AB6" s="32" t="str">
        <x:v>B5/standard/FF600:600 | B35/standard/FF600:600</x:v>
      </x:c>
      <x:c r="AC6" s="32" t="str">
        <x:v>B5/standard/FF600:550 | B35/standard/FF600:550</x:v>
      </x:c>
      <x:c r="AD6" s="32" t="str">
        <x:v>B5/standard/FF600:660 | B35/standard/FF600:660</x:v>
      </x:c>
      <x:c r="AE6" s="32" t="str">
        <x:v>B5/standard/FF600:22 | B35/standard/FF600:22</x:v>
      </x:c>
      <x:c r="AF6" s="32" t="str">
        <x:v>B5/standard/FF600:6 | B35/standard/FF600:6</x:v>
      </x:c>
      <x:c r="AG6" s="32" t="str">
        <x:v>B5/standard/FF600:8 | B35/standard/FF600:8</x:v>
      </x:c>
      <x:c r="AH6" s="34" t="str"/>
      <x:c r="AI6" s="34" t="str">
        <x:v>À confirmer</x:v>
      </x:c>
      <x:c r="AJ6" s="34" t="str"/>
      <x:c r="AK6" s="34" t="str"/>
      <x:c r="AL6" s="34" t="str"/>
      <x:c r="AM6" s="35" t="str">
        <x:v>leroy-somer:plses280mgu:standard</x:v>
      </x:c>
    </x:row>
  </x:sheetData>
  <x:mergeCells>
    <x:mergeCell ref="A1:AM1"/>
    <x:mergeCell ref="A2:AM2"/>
  </x:mergeCells>
  <x:conditionalFormatting sqref="A5:A6">
    <x:cfRule type="containsText" dxfId="3" priority="1" operator="containsText" text="Confirmé"/>
    <x:cfRule type="containsText" dxfId="4" priority="2" operator="containsText" text="Corrigé"/>
    <x:cfRule type="containsText" dxfId="5" priority="3" operator="containsText" text="Catalogue manquant"/>
  </x:conditionalFormatting>
  <x:dataValidations count="2">
    <x:dataValidation type="list" sqref="A5:A6">
      <x:formula1>"À vérifier,Confirmé,Corrigé,Non applicable,Catalogue manquant"</x:formula1>
    </x:dataValidation>
    <x:dataValidation type="list" sqref="AI5:AI6">
      <x:formula1>"À confirmer,Applicable,Non applicable,Interface constructeur,Dépend du montage"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ae2c4531544f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22" hidden="0" customWidth="1"/>
    <x:col min="5" max="5" width="10" hidden="0" customWidth="1"/>
    <x:col min="6" max="6" width="15" hidden="0" customWidth="1"/>
    <x:col min="7" max="7" width="10" hidden="0" customWidth="1"/>
    <x:col min="8" max="8" width="16" hidden="0" customWidth="1"/>
    <x:col min="9" max="9" width="34" hidden="0" customWidth="1"/>
    <x:col min="10" max="10" width="38" hidden="0" customWidth="1"/>
    <x:col min="11" max="11" width="15" hidden="0" customWidth="1"/>
    <x:col min="12" max="12" width="13" hidden="0" customWidth="1"/>
    <x:col min="13" max="13" width="15" hidden="0" customWidth="1"/>
    <x:col min="14" max="14" width="13" hidden="0" customWidth="1"/>
    <x:col min="15" max="15" width="15" hidden="0" customWidth="1"/>
    <x:col min="16" max="16" width="13" hidden="0" customWidth="1"/>
    <x:col min="17" max="17" width="15" hidden="0" customWidth="1"/>
    <x:col min="18" max="18" width="13" hidden="0" customWidth="1"/>
    <x:col min="19" max="19" width="15" hidden="0" customWidth="1"/>
    <x:col min="20" max="20" width="13" hidden="0" customWidth="1"/>
    <x:col min="21" max="21" width="15" hidden="0" customWidth="1"/>
    <x:col min="22" max="22" width="13" hidden="0" customWidth="1"/>
    <x:col min="23" max="23" width="15" hidden="0" customWidth="1"/>
    <x:col min="24" max="24" width="13" hidden="0" customWidth="1"/>
    <x:col min="25" max="25" width="15" hidden="0" customWidth="1"/>
    <x:col min="26" max="26" width="13" hidden="0" customWidth="1"/>
    <x:col min="27" max="27" width="20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8" hidden="0" customWidth="1"/>
    <x:col min="35" max="35" width="20" hidden="0" customWidth="1"/>
    <x:col min="36" max="36" width="28" hidden="0" customWidth="1"/>
    <x:col min="37" max="37" width="14" hidden="0" customWidth="1"/>
    <x:col min="38" max="38" width="32" hidden="0" customWidth="1"/>
    <x:col min="39" max="39" width="42" hidden="0" customWidth="1"/>
  </x:cols>
  <x:sheetData>
    <x:row r="1" ht="30" customHeight="1">
      <x:c r="A1" s="3" t="str">
        <x:v>Contrôle des dimensions IEC - Bonfiglioli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</x:row>
    <x:row r="2" ht="38" customHeight="1">
      <x:c r="A2" s="7" t="str">
        <x:v>Une ligne = un modèle technique du candidat C2c présentant au moins une cote IEC A/B/C/H/K/D/E/F absente. Les colonnes jaunes sont à renseigner depuis le PDF. Ne jamais recopier une valeur d’un modèle voisin sans preuve documentaire.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</x:row>
    <x:row r="4" ht="42" customHeight="1">
      <x:c r="A4" s="19" t="str">
        <x:v>Statut</x:v>
      </x:c>
      <x:c r="B4" s="20" t="str">
        <x:v>Série</x:v>
      </x:c>
      <x:c r="C4" s="20" t="str">
        <x:v>Désignation / produit</x:v>
      </x:c>
      <x:c r="D4" s="20" t="str">
        <x:v>Réf. article / discriminant DB</x:v>
      </x:c>
      <x:c r="E4" s="20" t="str">
        <x:v>Pôles</x:v>
      </x:c>
      <x:c r="F4" s="20" t="str">
        <x:v>Technologie</x:v>
      </x:c>
      <x:c r="G4" s="20" t="str">
        <x:v>Carcasse</x:v>
      </x:c>
      <x:c r="H4" s="20" t="str">
        <x:v>Montages DB</x:v>
      </x:c>
      <x:c r="I4" s="20" t="str">
        <x:v>Pages déjà sourcées</x:v>
      </x:c>
      <x:c r="J4" s="20" t="str">
        <x:v>Pages suggérées à vérifier</x:v>
      </x:c>
      <x:c r="K4" s="20" t="str">
        <x:v>A DB (mm)</x:v>
      </x:c>
      <x:c r="L4" s="20" t="str">
        <x:v>A vérifiée</x:v>
      </x:c>
      <x:c r="M4" s="20" t="str">
        <x:v>B DB (mm)</x:v>
      </x:c>
      <x:c r="N4" s="20" t="str">
        <x:v>B vérifiée</x:v>
      </x:c>
      <x:c r="O4" s="20" t="str">
        <x:v>C DB (mm)</x:v>
      </x:c>
      <x:c r="P4" s="20" t="str">
        <x:v>C vérifiée</x:v>
      </x:c>
      <x:c r="Q4" s="20" t="str">
        <x:v>H DB (mm)</x:v>
      </x:c>
      <x:c r="R4" s="20" t="str">
        <x:v>H vérifiée</x:v>
      </x:c>
      <x:c r="S4" s="20" t="str">
        <x:v>K DB (mm)</x:v>
      </x:c>
      <x:c r="T4" s="20" t="str">
        <x:v>K vérifiée</x:v>
      </x:c>
      <x:c r="U4" s="20" t="str">
        <x:v>D DB (mm)</x:v>
      </x:c>
      <x:c r="V4" s="20" t="str">
        <x:v>D vérifiée</x:v>
      </x:c>
      <x:c r="W4" s="20" t="str">
        <x:v>E DB (mm)</x:v>
      </x:c>
      <x:c r="X4" s="20" t="str">
        <x:v>E vérifiée</x:v>
      </x:c>
      <x:c r="Y4" s="20" t="str">
        <x:v>F DB (mm)</x:v>
      </x:c>
      <x:c r="Z4" s="20" t="str">
        <x:v>F vérifiée</x:v>
      </x:c>
      <x:c r="AA4" s="20" t="str">
        <x:v>Cotes absentes en DB</x:v>
      </x:c>
      <x:c r="AB4" s="20" t="str">
        <x:v>M DB</x:v>
      </x:c>
      <x:c r="AC4" s="20" t="str">
        <x:v>N DB</x:v>
      </x:c>
      <x:c r="AD4" s="20" t="str">
        <x:v>P DB</x:v>
      </x:c>
      <x:c r="AE4" s="20" t="str">
        <x:v>S DB</x:v>
      </x:c>
      <x:c r="AF4" s="20" t="str">
        <x:v>T DB</x:v>
      </x:c>
      <x:c r="AG4" s="20" t="str">
        <x:v>Z DB</x:v>
      </x:c>
      <x:c r="AH4" s="20" t="str">
        <x:v>Brides : vérification / correction</x:v>
      </x:c>
      <x:c r="AI4" s="20" t="str">
        <x:v>Applicabilité IEC</x:v>
      </x:c>
      <x:c r="AJ4" s="20" t="str">
        <x:v>PDF utilisé</x:v>
      </x:c>
      <x:c r="AK4" s="20" t="str">
        <x:v>Page vérifiée</x:v>
      </x:c>
      <x:c r="AL4" s="20" t="str">
        <x:v>Commentaire</x:v>
      </x:c>
      <x:c r="AM4" s="21" t="str">
        <x:v>model_key</x:v>
      </x:c>
    </x:row>
    <x:row r="5">
      <x:c r="A5" s="24" t="str">
        <x:v>À vérifier</x:v>
      </x:c>
      <x:c r="B5" s="24" t="str">
        <x:v>BN</x:v>
      </x:c>
      <x:c r="C5" s="24" t="str">
        <x:v>BN 56A</x:v>
      </x:c>
      <x:c r="D5" s="24" t="str">
        <x:v>j-0p00015000000000000001-m-3p1</x:v>
      </x:c>
      <x:c r="E5" s="24" t="str">
        <x:v>4</x:v>
      </x:c>
      <x:c r="F5" s="24" t="str">
        <x:v>asynchronous</x:v>
      </x:c>
      <x:c r="G5" s="24" t="n">
        <x:v>56</x:v>
      </x:c>
      <x:c r="H5" s="25" t="str">
        <x:v>B5, B14</x:v>
      </x:c>
      <x:c r="I5" s="25" t="str">
        <x:v>Catalogue_BONFIGLIOLI_Moteur.pdf p.109</x:v>
      </x:c>
      <x:c r="J5" s="25" t="str">
        <x:v>Catalogue_BONFIGLIOLI_Moteur.pdf p.108-115</x:v>
      </x:c>
      <x:c r="K5" s="25" t="str"/>
      <x:c r="L5" s="26" t="str"/>
      <x:c r="M5" s="25" t="str"/>
      <x:c r="N5" s="26" t="str"/>
      <x:c r="O5" s="25" t="str"/>
      <x:c r="P5" s="26" t="str"/>
      <x:c r="Q5" s="25" t="str"/>
      <x:c r="R5" s="26" t="str"/>
      <x:c r="S5" s="25" t="str"/>
      <x:c r="T5" s="26" t="str"/>
      <x:c r="U5" s="25" t="str">
        <x:v>commun:9</x:v>
      </x:c>
      <x:c r="V5" s="26" t="str"/>
      <x:c r="W5" s="25" t="str">
        <x:v>commun:20</x:v>
      </x:c>
      <x:c r="X5" s="26" t="str"/>
      <x:c r="Y5" s="25" t="str">
        <x:v>commun:3</x:v>
      </x:c>
      <x:c r="Z5" s="26" t="str"/>
      <x:c r="AA5" s="29" t="str">
        <x:f>TRIM(IF(K5="","A ","")&amp;IF(M5="","B ","")&amp;IF(O5="","C ","")&amp;IF(Q5="","H ","")&amp;IF(S5="","K ","")&amp;IF(U5="","D ","")&amp;IF(W5="","E ","")&amp;IF(Y5="","F",""))</x:f>
        <x:v>A B C H K</x:v>
      </x:c>
      <x:c r="AB5" s="25" t="str">
        <x:v>B5/standard/B5:100 | B14/standard/B14:65</x:v>
      </x:c>
      <x:c r="AC5" s="25" t="str">
        <x:v>B5/standard/B5:80 | B14/standard/B14:50</x:v>
      </x:c>
      <x:c r="AD5" s="25" t="str">
        <x:v>B5/standard/B5:120 | B14/standard/B14:80</x:v>
      </x:c>
      <x:c r="AE5" s="25" t="str">
        <x:v>B5/standard/B5:7 | B14/standard/B14:M5</x:v>
      </x:c>
      <x:c r="AF5" s="25" t="str">
        <x:v>B5/standard/B5:3 | B14/standard/B14:2.5</x:v>
      </x:c>
      <x:c r="AG5" s="25" t="str"/>
      <x:c r="AH5" s="27" t="str"/>
      <x:c r="AI5" s="27" t="str">
        <x:v>À confirmer</x:v>
      </x:c>
      <x:c r="AJ5" s="27" t="str"/>
      <x:c r="AK5" s="27" t="str"/>
      <x:c r="AL5" s="27" t="str"/>
      <x:c r="AM5" s="28" t="str">
        <x:v>bonfiglioli:bn56a:j-0p00015000000000000001-m-3p1</x:v>
      </x:c>
    </x:row>
    <x:row r="6">
      <x:c r="A6" s="31" t="str">
        <x:v>À vérifier</x:v>
      </x:c>
      <x:c r="B6" s="31" t="str">
        <x:v>BN</x:v>
      </x:c>
      <x:c r="C6" s="31" t="str">
        <x:v>BN 56B</x:v>
      </x:c>
      <x:c r="D6" s="31" t="str">
        <x:v>j-0p00015000000000000001-m-3p1</x:v>
      </x:c>
      <x:c r="E6" s="31" t="str">
        <x:v>4</x:v>
      </x:c>
      <x:c r="F6" s="31" t="str">
        <x:v>asynchronous</x:v>
      </x:c>
      <x:c r="G6" s="31" t="n">
        <x:v>56</x:v>
      </x:c>
      <x:c r="H6" s="32" t="str">
        <x:v>B5, B14</x:v>
      </x:c>
      <x:c r="I6" s="32" t="str">
        <x:v>Catalogue_BONFIGLIOLI_Moteur.pdf p.109</x:v>
      </x:c>
      <x:c r="J6" s="32" t="str">
        <x:v>Catalogue_BONFIGLIOLI_Moteur.pdf p.108-115</x:v>
      </x:c>
      <x:c r="K6" s="32" t="str"/>
      <x:c r="L6" s="33" t="str"/>
      <x:c r="M6" s="32" t="str"/>
      <x:c r="N6" s="33" t="str"/>
      <x:c r="O6" s="32" t="str"/>
      <x:c r="P6" s="33" t="str"/>
      <x:c r="Q6" s="32" t="str"/>
      <x:c r="R6" s="33" t="str"/>
      <x:c r="S6" s="32" t="str"/>
      <x:c r="T6" s="33" t="str"/>
      <x:c r="U6" s="32" t="str">
        <x:v>commun:9</x:v>
      </x:c>
      <x:c r="V6" s="33" t="str"/>
      <x:c r="W6" s="32" t="str">
        <x:v>commun:20</x:v>
      </x:c>
      <x:c r="X6" s="33" t="str"/>
      <x:c r="Y6" s="32" t="str">
        <x:v>commun:3</x:v>
      </x:c>
      <x:c r="Z6" s="33" t="str"/>
      <x:c r="AA6" s="36" t="str">
        <x:f>TRIM(IF(K6="","A ","")&amp;IF(M6="","B ","")&amp;IF(O6="","C ","")&amp;IF(Q6="","H ","")&amp;IF(S6="","K ","")&amp;IF(U6="","D ","")&amp;IF(W6="","E ","")&amp;IF(Y6="","F",""))</x:f>
        <x:v>A B C H K</x:v>
      </x:c>
      <x:c r="AB6" s="32" t="str">
        <x:v>B5/standard/B5:100 | B14/standard/B14:65</x:v>
      </x:c>
      <x:c r="AC6" s="32" t="str">
        <x:v>B5/standard/B5:80 | B14/standard/B14:50</x:v>
      </x:c>
      <x:c r="AD6" s="32" t="str">
        <x:v>B5/standard/B5:120 | B14/standard/B14:80</x:v>
      </x:c>
      <x:c r="AE6" s="32" t="str">
        <x:v>B5/standard/B5:7 | B14/standard/B14:M5</x:v>
      </x:c>
      <x:c r="AF6" s="32" t="str">
        <x:v>B5/standard/B5:3 | B14/standard/B14:2.5</x:v>
      </x:c>
      <x:c r="AG6" s="32" t="str"/>
      <x:c r="AH6" s="34" t="str"/>
      <x:c r="AI6" s="34" t="str">
        <x:v>À confirmer</x:v>
      </x:c>
      <x:c r="AJ6" s="34" t="str"/>
      <x:c r="AK6" s="34" t="str"/>
      <x:c r="AL6" s="34" t="str"/>
      <x:c r="AM6" s="35" t="str">
        <x:v>bonfiglioli:bn56b:j-0p00015000000000000001-m-3p1</x:v>
      </x:c>
    </x:row>
    <x:row r="7">
      <x:c r="A7" s="31" t="str">
        <x:v>À vérifier</x:v>
      </x:c>
      <x:c r="B7" s="31" t="str">
        <x:v>BN</x:v>
      </x:c>
      <x:c r="C7" s="31" t="str">
        <x:v>BN 160MR</x:v>
      </x:c>
      <x:c r="D7" s="31" t="str">
        <x:v>j-0p021-m-65</x:v>
      </x:c>
      <x:c r="E7" s="31" t="str">
        <x:v>2</x:v>
      </x:c>
      <x:c r="F7" s="31" t="str">
        <x:v>asynchronous</x:v>
      </x:c>
      <x:c r="G7" s="31" t="n">
        <x:v>160</x:v>
      </x:c>
      <x:c r="H7" s="32" t="str">
        <x:v>B5</x:v>
      </x:c>
      <x:c r="I7" s="32" t="str">
        <x:v>Catalogue_BONFIGLIOLI_Moteur.pdf p.109</x:v>
      </x:c>
      <x:c r="J7" s="32" t="str">
        <x:v>Catalogue_BONFIGLIOLI_Moteur.pdf p.108-115</x:v>
      </x:c>
      <x:c r="K7" s="32" t="str"/>
      <x:c r="L7" s="33" t="str"/>
      <x:c r="M7" s="32" t="str"/>
      <x:c r="N7" s="33" t="str"/>
      <x:c r="O7" s="32" t="str"/>
      <x:c r="P7" s="33" t="str"/>
      <x:c r="Q7" s="32" t="str"/>
      <x:c r="R7" s="33" t="str"/>
      <x:c r="S7" s="32" t="str"/>
      <x:c r="T7" s="33" t="str"/>
      <x:c r="U7" s="32" t="str">
        <x:v>commun:42</x:v>
      </x:c>
      <x:c r="V7" s="33" t="str"/>
      <x:c r="W7" s="32" t="str">
        <x:v>commun:110</x:v>
      </x:c>
      <x:c r="X7" s="33" t="str"/>
      <x:c r="Y7" s="32" t="str">
        <x:v>commun:12</x:v>
      </x:c>
      <x:c r="Z7" s="33" t="str"/>
      <x:c r="AA7" s="36" t="str">
        <x:f>TRIM(IF(K7="","A ","")&amp;IF(M7="","B ","")&amp;IF(O7="","C ","")&amp;IF(Q7="","H ","")&amp;IF(S7="","K ","")&amp;IF(U7="","D ","")&amp;IF(W7="","E ","")&amp;IF(Y7="","F",""))</x:f>
        <x:v>A B C H K</x:v>
      </x:c>
      <x:c r="AB7" s="32" t="str">
        <x:v>B5/standard/B5:300</x:v>
      </x:c>
      <x:c r="AC7" s="32" t="str">
        <x:v>B5/standard/B5:250</x:v>
      </x:c>
      <x:c r="AD7" s="32" t="str">
        <x:v>B5/standard/B5:350</x:v>
      </x:c>
      <x:c r="AE7" s="32" t="str">
        <x:v>B5/standard/B5:18</x:v>
      </x:c>
      <x:c r="AF7" s="32" t="str">
        <x:v>B5/standard/B5:5</x:v>
      </x:c>
      <x:c r="AG7" s="32" t="str"/>
      <x:c r="AH7" s="34" t="str"/>
      <x:c r="AI7" s="34" t="str">
        <x:v>À confirmer</x:v>
      </x:c>
      <x:c r="AJ7" s="34" t="str"/>
      <x:c r="AK7" s="34" t="str"/>
      <x:c r="AL7" s="34" t="str"/>
      <x:c r="AM7" s="35" t="str">
        <x:v>bonfiglioli:bn160mr:j-0p021-m-65</x:v>
      </x:c>
    </x:row>
    <x:row r="8">
      <x:c r="A8" s="31" t="str">
        <x:v>À vérifier</x:v>
      </x:c>
      <x:c r="B8" s="31" t="str">
        <x:v>BN</x:v>
      </x:c>
      <x:c r="C8" s="31" t="str">
        <x:v>BN 160MR</x:v>
      </x:c>
      <x:c r="D8" s="31" t="str">
        <x:v>j-0p036000000000000004-m-70</x:v>
      </x:c>
      <x:c r="E8" s="31" t="str">
        <x:v>4</x:v>
      </x:c>
      <x:c r="F8" s="31" t="str">
        <x:v>asynchronous</x:v>
      </x:c>
      <x:c r="G8" s="31" t="n">
        <x:v>160</x:v>
      </x:c>
      <x:c r="H8" s="32" t="str">
        <x:v>B5</x:v>
      </x:c>
      <x:c r="I8" s="32" t="str">
        <x:v>Catalogue_BONFIGLIOLI_Moteur.pdf p.109</x:v>
      </x:c>
      <x:c r="J8" s="32" t="str">
        <x:v>Catalogue_BONFIGLIOLI_Moteur.pdf p.108-115</x:v>
      </x:c>
      <x:c r="K8" s="32" t="str"/>
      <x:c r="L8" s="33" t="str"/>
      <x:c r="M8" s="32" t="str"/>
      <x:c r="N8" s="33" t="str"/>
      <x:c r="O8" s="32" t="str"/>
      <x:c r="P8" s="33" t="str"/>
      <x:c r="Q8" s="32" t="str"/>
      <x:c r="R8" s="33" t="str"/>
      <x:c r="S8" s="32" t="str"/>
      <x:c r="T8" s="33" t="str"/>
      <x:c r="U8" s="32" t="str">
        <x:v>commun:42</x:v>
      </x:c>
      <x:c r="V8" s="33" t="str"/>
      <x:c r="W8" s="32" t="str">
        <x:v>commun:110</x:v>
      </x:c>
      <x:c r="X8" s="33" t="str"/>
      <x:c r="Y8" s="32" t="str">
        <x:v>commun:12</x:v>
      </x:c>
      <x:c r="Z8" s="33" t="str"/>
      <x:c r="AA8" s="36" t="str">
        <x:f>TRIM(IF(K8="","A ","")&amp;IF(M8="","B ","")&amp;IF(O8="","C ","")&amp;IF(Q8="","H ","")&amp;IF(S8="","K ","")&amp;IF(U8="","D ","")&amp;IF(W8="","E ","")&amp;IF(Y8="","F",""))</x:f>
        <x:v>A B C H K</x:v>
      </x:c>
      <x:c r="AB8" s="32" t="str">
        <x:v>B5/standard/B5:300</x:v>
      </x:c>
      <x:c r="AC8" s="32" t="str">
        <x:v>B5/standard/B5:250</x:v>
      </x:c>
      <x:c r="AD8" s="32" t="str">
        <x:v>B5/standard/B5:350</x:v>
      </x:c>
      <x:c r="AE8" s="32" t="str">
        <x:v>B5/standard/B5:18</x:v>
      </x:c>
      <x:c r="AF8" s="32" t="str">
        <x:v>B5/standard/B5:5</x:v>
      </x:c>
      <x:c r="AG8" s="32" t="str"/>
      <x:c r="AH8" s="34" t="str"/>
      <x:c r="AI8" s="34" t="str">
        <x:v>À confirmer</x:v>
      </x:c>
      <x:c r="AJ8" s="34" t="str"/>
      <x:c r="AK8" s="34" t="str"/>
      <x:c r="AL8" s="34" t="str"/>
      <x:c r="AM8" s="35" t="str">
        <x:v>bonfiglioli:bn160mr:j-0p036000000000000004-m-70</x:v>
      </x:c>
    </x:row>
    <x:row r="9">
      <x:c r="A9" s="31" t="str">
        <x:v>À vérifier</x:v>
      </x:c>
      <x:c r="B9" s="31" t="str">
        <x:v>BN</x:v>
      </x:c>
      <x:c r="C9" s="31" t="str">
        <x:v>BN 180M</x:v>
      </x:c>
      <x:c r="D9" s="31" t="str">
        <x:v>j-0p049-m-109</x:v>
      </x:c>
      <x:c r="E9" s="31" t="str">
        <x:v>2</x:v>
      </x:c>
      <x:c r="F9" s="31" t="str">
        <x:v>asynchronous</x:v>
      </x:c>
      <x:c r="G9" s="31" t="n">
        <x:v>180</x:v>
      </x:c>
      <x:c r="H9" s="32" t="str">
        <x:v>B5</x:v>
      </x:c>
      <x:c r="I9" s="32" t="str">
        <x:v>Catalogue_BONFIGLIOLI_Moteur.pdf p.109</x:v>
      </x:c>
      <x:c r="J9" s="32" t="str">
        <x:v>Catalogue_BONFIGLIOLI_Moteur.pdf p.108-115</x:v>
      </x:c>
      <x:c r="K9" s="32" t="str"/>
      <x:c r="L9" s="33" t="str"/>
      <x:c r="M9" s="32" t="str"/>
      <x:c r="N9" s="33" t="str"/>
      <x:c r="O9" s="32" t="str"/>
      <x:c r="P9" s="33" t="str"/>
      <x:c r="Q9" s="32" t="str"/>
      <x:c r="R9" s="33" t="str"/>
      <x:c r="S9" s="32" t="str"/>
      <x:c r="T9" s="33" t="str"/>
      <x:c r="U9" s="32" t="str">
        <x:v>commun:48</x:v>
      </x:c>
      <x:c r="V9" s="33" t="str"/>
      <x:c r="W9" s="32" t="str"/>
      <x:c r="X9" s="33" t="str"/>
      <x:c r="Y9" s="32" t="str">
        <x:v>commun:14</x:v>
      </x:c>
      <x:c r="Z9" s="33" t="str"/>
      <x:c r="AA9" s="36" t="str">
        <x:f>TRIM(IF(K9="","A ","")&amp;IF(M9="","B ","")&amp;IF(O9="","C ","")&amp;IF(Q9="","H ","")&amp;IF(S9="","K ","")&amp;IF(U9="","D ","")&amp;IF(W9="","E ","")&amp;IF(Y9="","F",""))</x:f>
        <x:v>A B C H K E</x:v>
      </x:c>
      <x:c r="AB9" s="32" t="str">
        <x:v>B5/standard/B5:300</x:v>
      </x:c>
      <x:c r="AC9" s="32" t="str">
        <x:v>B5/standard/B5:250</x:v>
      </x:c>
      <x:c r="AD9" s="32" t="str">
        <x:v>B5/standard/B5:350</x:v>
      </x:c>
      <x:c r="AE9" s="32" t="str">
        <x:v>B5/standard/B5:18</x:v>
      </x:c>
      <x:c r="AF9" s="32" t="str">
        <x:v>B5/standard/B5:5</x:v>
      </x:c>
      <x:c r="AG9" s="32" t="str"/>
      <x:c r="AH9" s="34" t="str"/>
      <x:c r="AI9" s="34" t="str">
        <x:v>À confirmer</x:v>
      </x:c>
      <x:c r="AJ9" s="34" t="str"/>
      <x:c r="AK9" s="34" t="str"/>
      <x:c r="AL9" s="34" t="str"/>
      <x:c r="AM9" s="35" t="str">
        <x:v>bonfiglioli:bn180m:j-0p049-m-109</x:v>
      </x:c>
    </x:row>
    <x:row r="10">
      <x:c r="A10" s="31" t="str">
        <x:v>À vérifier</x:v>
      </x:c>
      <x:c r="B10" s="31" t="str">
        <x:v>BN</x:v>
      </x:c>
      <x:c r="C10" s="31" t="str">
        <x:v>BN 180M</x:v>
      </x:c>
      <x:c r="D10" s="31" t="str">
        <x:v>j-0p079-m-115</x:v>
      </x:c>
      <x:c r="E10" s="31" t="str">
        <x:v>4</x:v>
      </x:c>
      <x:c r="F10" s="31" t="str">
        <x:v>asynchronous</x:v>
      </x:c>
      <x:c r="G10" s="31" t="n">
        <x:v>180</x:v>
      </x:c>
      <x:c r="H10" s="32" t="str">
        <x:v>B5</x:v>
      </x:c>
      <x:c r="I10" s="32" t="str">
        <x:v>Catalogue_BONFIGLIOLI_Moteur.pdf p.109</x:v>
      </x:c>
      <x:c r="J10" s="32" t="str">
        <x:v>Catalogue_BONFIGLIOLI_Moteur.pdf p.108-115</x:v>
      </x:c>
      <x:c r="K10" s="32" t="str"/>
      <x:c r="L10" s="33" t="str"/>
      <x:c r="M10" s="32" t="str"/>
      <x:c r="N10" s="33" t="str"/>
      <x:c r="O10" s="32" t="str"/>
      <x:c r="P10" s="33" t="str"/>
      <x:c r="Q10" s="32" t="str"/>
      <x:c r="R10" s="33" t="str"/>
      <x:c r="S10" s="32" t="str"/>
      <x:c r="T10" s="33" t="str"/>
      <x:c r="U10" s="32" t="str">
        <x:v>commun:48</x:v>
      </x:c>
      <x:c r="V10" s="33" t="str"/>
      <x:c r="W10" s="32" t="str"/>
      <x:c r="X10" s="33" t="str"/>
      <x:c r="Y10" s="32" t="str">
        <x:v>commun:14</x:v>
      </x:c>
      <x:c r="Z10" s="33" t="str"/>
      <x:c r="AA10" s="36" t="str">
        <x:f>TRIM(IF(K10="","A ","")&amp;IF(M10="","B ","")&amp;IF(O10="","C ","")&amp;IF(Q10="","H ","")&amp;IF(S10="","K ","")&amp;IF(U10="","D ","")&amp;IF(W10="","E ","")&amp;IF(Y10="","F",""))</x:f>
        <x:v>A B C H K E</x:v>
      </x:c>
      <x:c r="AB10" s="32" t="str">
        <x:v>B5/standard/B5:300</x:v>
      </x:c>
      <x:c r="AC10" s="32" t="str">
        <x:v>B5/standard/B5:250</x:v>
      </x:c>
      <x:c r="AD10" s="32" t="str">
        <x:v>B5/standard/B5:350</x:v>
      </x:c>
      <x:c r="AE10" s="32" t="str">
        <x:v>B5/standard/B5:18</x:v>
      </x:c>
      <x:c r="AF10" s="32" t="str">
        <x:v>B5/standard/B5:5</x:v>
      </x:c>
      <x:c r="AG10" s="32" t="str"/>
      <x:c r="AH10" s="34" t="str"/>
      <x:c r="AI10" s="34" t="str">
        <x:v>À confirmer</x:v>
      </x:c>
      <x:c r="AJ10" s="34" t="str"/>
      <x:c r="AK10" s="34" t="str"/>
      <x:c r="AL10" s="34" t="str"/>
      <x:c r="AM10" s="35" t="str">
        <x:v>bonfiglioli:bn180m:j-0p079-m-115</x:v>
      </x:c>
    </x:row>
    <x:row r="11">
      <x:c r="A11" s="31" t="str">
        <x:v>Non applicable</x:v>
      </x:c>
      <x:c r="B11" s="31" t="str">
        <x:v>M</x:v>
      </x:c>
      <x:c r="C11" s="31" t="str">
        <x:v>M 0B</x:v>
      </x:c>
      <x:c r="D11" s="31" t="str">
        <x:v>j-0p00015000000000000001-m-2p9</x:v>
      </x:c>
      <x:c r="E11" s="31" t="str">
        <x:v>4</x:v>
      </x:c>
      <x:c r="F11" s="31" t="str">
        <x:v>asynchronous</x:v>
      </x:c>
      <x:c r="G11" s="31"/>
      <x:c r="H11" s="32" t="str"/>
      <x:c r="I11" s="32" t="str">
        <x:v>Catalogue_BONFIGLIOLI_Moteur.pdf p.114</x:v>
      </x:c>
      <x:c r="J11" s="32" t="str">
        <x:v>Catalogue_BONFIGLIOLI_Moteur.pdf p.108-115 ; interface intégrée</x:v>
      </x:c>
      <x:c r="K11" s="32" t="str"/>
      <x:c r="L11" s="33" t="str"/>
      <x:c r="M11" s="32" t="str"/>
      <x:c r="N11" s="33" t="str"/>
      <x:c r="O11" s="32" t="str"/>
      <x:c r="P11" s="33" t="str"/>
      <x:c r="Q11" s="32" t="str"/>
      <x:c r="R11" s="33" t="str"/>
      <x:c r="S11" s="32" t="str"/>
      <x:c r="T11" s="33" t="str"/>
      <x:c r="U11" s="32" t="str"/>
      <x:c r="V11" s="33" t="str"/>
      <x:c r="W11" s="32" t="str"/>
      <x:c r="X11" s="33" t="str"/>
      <x:c r="Y11" s="32" t="str"/>
      <x:c r="Z11" s="33" t="str"/>
      <x:c r="AA11" s="36" t="str">
        <x:f>TRIM(IF(K11="","A ","")&amp;IF(M11="","B ","")&amp;IF(O11="","C ","")&amp;IF(Q11="","H ","")&amp;IF(S11="","K ","")&amp;IF(U11="","D ","")&amp;IF(W11="","E ","")&amp;IF(Y11="","F",""))</x:f>
        <x:v>A B C H K D E F</x:v>
      </x:c>
      <x:c r="AB11" s="32" t="str"/>
      <x:c r="AC11" s="32" t="str"/>
      <x:c r="AD11" s="32" t="str"/>
      <x:c r="AE11" s="32" t="str"/>
      <x:c r="AF11" s="32" t="str"/>
      <x:c r="AG11" s="32" t="str"/>
      <x:c r="AH11" s="34" t="str"/>
      <x:c r="AI11" s="34" t="str">
        <x:v>Interface constructeur</x:v>
      </x:c>
      <x:c r="AJ11" s="34" t="str"/>
      <x:c r="AK11" s="34" t="str"/>
      <x:c r="AL11" s="34" t="str">
        <x:v>Les cotes IEC autonomes ne s’appliquent pas ; voir la feuille Interfaces intégrées.</x:v>
      </x:c>
      <x:c r="AM11" s="35" t="str">
        <x:v>bonfiglioli:m0b:j-0p00015000000000000001-m-2p9</x:v>
      </x:c>
    </x:row>
    <x:row r="12">
      <x:c r="A12" s="31" t="str">
        <x:v>Non applicable</x:v>
      </x:c>
      <x:c r="B12" s="31" t="str">
        <x:v>M</x:v>
      </x:c>
      <x:c r="C12" s="31" t="str">
        <x:v>M 1LA</x:v>
      </x:c>
      <x:c r="D12" s="31" t="str">
        <x:v>j-0p0005-m-6p9</x:v>
      </x:c>
      <x:c r="E12" s="31" t="str">
        <x:v>2</x:v>
      </x:c>
      <x:c r="F12" s="31" t="str">
        <x:v>asynchronous</x:v>
      </x:c>
      <x:c r="G12" s="31"/>
      <x:c r="H12" s="32" t="str"/>
      <x:c r="I12" s="32" t="str">
        <x:v>Catalogue_BONFIGLIOLI_Moteur.pdf p.114</x:v>
      </x:c>
      <x:c r="J12" s="32" t="str">
        <x:v>Catalogue_BONFIGLIOLI_Moteur.pdf p.108-115 ; interface intégrée</x:v>
      </x:c>
      <x:c r="K12" s="32" t="str"/>
      <x:c r="L12" s="33" t="str"/>
      <x:c r="M12" s="32" t="str"/>
      <x:c r="N12" s="33" t="str"/>
      <x:c r="O12" s="32" t="str"/>
      <x:c r="P12" s="33" t="str"/>
      <x:c r="Q12" s="32" t="str"/>
      <x:c r="R12" s="33" t="str"/>
      <x:c r="S12" s="32" t="str"/>
      <x:c r="T12" s="33" t="str"/>
      <x:c r="U12" s="32" t="str"/>
      <x:c r="V12" s="33" t="str"/>
      <x:c r="W12" s="32" t="str"/>
      <x:c r="X12" s="33" t="str"/>
      <x:c r="Y12" s="32" t="str"/>
      <x:c r="Z12" s="33" t="str"/>
      <x:c r="AA12" s="36" t="str">
        <x:f>TRIM(IF(K12="","A ","")&amp;IF(M12="","B ","")&amp;IF(O12="","C ","")&amp;IF(Q12="","H ","")&amp;IF(S12="","K ","")&amp;IF(U12="","D ","")&amp;IF(W12="","E ","")&amp;IF(Y12="","F",""))</x:f>
        <x:v>A B C H K D E F</x:v>
      </x:c>
      <x:c r="AB12" s="32" t="str"/>
      <x:c r="AC12" s="32" t="str"/>
      <x:c r="AD12" s="32" t="str"/>
      <x:c r="AE12" s="32" t="str"/>
      <x:c r="AF12" s="32" t="str"/>
      <x:c r="AG12" s="32" t="str"/>
      <x:c r="AH12" s="34" t="str"/>
      <x:c r="AI12" s="34" t="str">
        <x:v>Interface constructeur</x:v>
      </x:c>
      <x:c r="AJ12" s="34" t="str"/>
      <x:c r="AK12" s="34" t="str"/>
      <x:c r="AL12" s="34" t="str">
        <x:v>Les cotes IEC autonomes ne s’appliquent pas ; voir la feuille Interfaces intégrées.</x:v>
      </x:c>
      <x:c r="AM12" s="35" t="str">
        <x:v>bonfiglioli:m1la:j-0p0005-m-6p9</x:v>
      </x:c>
    </x:row>
    <x:row r="13">
      <x:c r="A13" s="31" t="str">
        <x:v>Non applicable</x:v>
      </x:c>
      <x:c r="B13" s="31" t="str">
        <x:v>M</x:v>
      </x:c>
      <x:c r="C13" s="31" t="str">
        <x:v>M 1LA</x:v>
      </x:c>
      <x:c r="D13" s="31" t="str">
        <x:v>j-0p00091-m-6p9</x:v>
      </x:c>
      <x:c r="E13" s="31" t="str">
        <x:v>4</x:v>
      </x:c>
      <x:c r="F13" s="31" t="str">
        <x:v>asynchronous</x:v>
      </x:c>
      <x:c r="G13" s="31"/>
      <x:c r="H13" s="32" t="str"/>
      <x:c r="I13" s="32" t="str">
        <x:v>Catalogue_BONFIGLIOLI_Moteur.pdf p.114</x:v>
      </x:c>
      <x:c r="J13" s="32" t="str">
        <x:v>Catalogue_BONFIGLIOLI_Moteur.pdf p.108-115 ; interface intégrée</x:v>
      </x:c>
      <x:c r="K13" s="32" t="str"/>
      <x:c r="L13" s="33" t="str"/>
      <x:c r="M13" s="32" t="str"/>
      <x:c r="N13" s="33" t="str"/>
      <x:c r="O13" s="32" t="str"/>
      <x:c r="P13" s="33" t="str"/>
      <x:c r="Q13" s="32" t="str"/>
      <x:c r="R13" s="33" t="str"/>
      <x:c r="S13" s="32" t="str"/>
      <x:c r="T13" s="33" t="str"/>
      <x:c r="U13" s="32" t="str"/>
      <x:c r="V13" s="33" t="str"/>
      <x:c r="W13" s="32" t="str"/>
      <x:c r="X13" s="33" t="str"/>
      <x:c r="Y13" s="32" t="str"/>
      <x:c r="Z13" s="33" t="str"/>
      <x:c r="AA13" s="36" t="str">
        <x:f>TRIM(IF(K13="","A ","")&amp;IF(M13="","B ","")&amp;IF(O13="","C ","")&amp;IF(Q13="","H ","")&amp;IF(S13="","K ","")&amp;IF(U13="","D ","")&amp;IF(W13="","E ","")&amp;IF(Y13="","F",""))</x:f>
        <x:v>A B C H K D E F</x:v>
      </x:c>
      <x:c r="AB13" s="32" t="str"/>
      <x:c r="AC13" s="32" t="str"/>
      <x:c r="AD13" s="32" t="str"/>
      <x:c r="AE13" s="32" t="str"/>
      <x:c r="AF13" s="32" t="str"/>
      <x:c r="AG13" s="32" t="str"/>
      <x:c r="AH13" s="34" t="str"/>
      <x:c r="AI13" s="34" t="str">
        <x:v>Interface constructeur</x:v>
      </x:c>
      <x:c r="AJ13" s="34" t="str"/>
      <x:c r="AK13" s="34" t="str"/>
      <x:c r="AL13" s="34" t="str">
        <x:v>Les cotes IEC autonomes ne s’appliquent pas ; voir la feuille Interfaces intégrées.</x:v>
      </x:c>
      <x:c r="AM13" s="35" t="str">
        <x:v>bonfiglioli:m1la:j-0p00091-m-6p9</x:v>
      </x:c>
    </x:row>
    <x:row r="14">
      <x:c r="A14" s="31" t="str">
        <x:v>Non applicable</x:v>
      </x:c>
      <x:c r="B14" s="31" t="str">
        <x:v>M</x:v>
      </x:c>
      <x:c r="C14" s="31" t="str">
        <x:v>M 1LA</x:v>
      </x:c>
      <x:c r="D14" s="31" t="str">
        <x:v>j-0p0012900000000000001-m-7p3</x:v>
      </x:c>
      <x:c r="E14" s="31" t="str">
        <x:v>6</x:v>
      </x:c>
      <x:c r="F14" s="31" t="str">
        <x:v>asynchronous</x:v>
      </x:c>
      <x:c r="G14" s="31"/>
      <x:c r="H14" s="32" t="str"/>
      <x:c r="I14" s="32" t="str">
        <x:v>Catalogue_BONFIGLIOLI_Moteur.pdf p.114</x:v>
      </x:c>
      <x:c r="J14" s="32" t="str">
        <x:v>Catalogue_BONFIGLIOLI_Moteur.pdf p.108-115 ; interface intégrée</x:v>
      </x:c>
      <x:c r="K14" s="32" t="str"/>
      <x:c r="L14" s="33" t="str"/>
      <x:c r="M14" s="32" t="str"/>
      <x:c r="N14" s="33" t="str"/>
      <x:c r="O14" s="32" t="str"/>
      <x:c r="P14" s="33" t="str"/>
      <x:c r="Q14" s="32" t="str"/>
      <x:c r="R14" s="33" t="str"/>
      <x:c r="S14" s="32" t="str"/>
      <x:c r="T14" s="33" t="str"/>
      <x:c r="U14" s="32" t="str"/>
      <x:c r="V14" s="33" t="str"/>
      <x:c r="W14" s="32" t="str"/>
      <x:c r="X14" s="33" t="str"/>
      <x:c r="Y14" s="32" t="str"/>
      <x:c r="Z14" s="33" t="str"/>
      <x:c r="AA14" s="36" t="str">
        <x:f>TRIM(IF(K14="","A ","")&amp;IF(M14="","B ","")&amp;IF(O14="","C ","")&amp;IF(Q14="","H ","")&amp;IF(S14="","K ","")&amp;IF(U14="","D ","")&amp;IF(W14="","E ","")&amp;IF(Y14="","F",""))</x:f>
        <x:v>A B C H K D E F</x:v>
      </x:c>
      <x:c r="AB14" s="32" t="str"/>
      <x:c r="AC14" s="32" t="str"/>
      <x:c r="AD14" s="32" t="str"/>
      <x:c r="AE14" s="32" t="str"/>
      <x:c r="AF14" s="32" t="str"/>
      <x:c r="AG14" s="32" t="str"/>
      <x:c r="AH14" s="34" t="str"/>
      <x:c r="AI14" s="34" t="str">
        <x:v>Interface constructeur</x:v>
      </x:c>
      <x:c r="AJ14" s="34" t="str"/>
      <x:c r="AK14" s="34" t="str"/>
      <x:c r="AL14" s="34" t="str">
        <x:v>Les cotes IEC autonomes ne s’appliquent pas ; voir la feuille Interfaces intégrées.</x:v>
      </x:c>
      <x:c r="AM14" s="35" t="str">
        <x:v>bonfiglioli:m1la:j-0p0012900000000000001-m-7p3</x:v>
      </x:c>
    </x:row>
    <x:row r="15">
      <x:c r="A15" s="31" t="str">
        <x:v>Non applicable</x:v>
      </x:c>
      <x:c r="B15" s="31" t="str">
        <x:v>M</x:v>
      </x:c>
      <x:c r="C15" s="31" t="str">
        <x:v>M 1SC</x:v>
      </x:c>
      <x:c r="D15" s="31" t="str">
        <x:v>j-0p00084-m-5p1</x:v>
      </x:c>
      <x:c r="E15" s="31" t="str">
        <x:v>6</x:v>
      </x:c>
      <x:c r="F15" s="31" t="str">
        <x:v>asynchronous</x:v>
      </x:c>
      <x:c r="G15" s="31"/>
      <x:c r="H15" s="32" t="str"/>
      <x:c r="I15" s="32" t="str">
        <x:v>Catalogue_BONFIGLIOLI_Moteur.pdf p.114</x:v>
      </x:c>
      <x:c r="J15" s="32" t="str">
        <x:v>Catalogue_BONFIGLIOLI_Moteur.pdf p.108-115 ; interface intégrée</x:v>
      </x:c>
      <x:c r="K15" s="32" t="str"/>
      <x:c r="L15" s="33" t="str"/>
      <x:c r="M15" s="32" t="str"/>
      <x:c r="N15" s="33" t="str"/>
      <x:c r="O15" s="32" t="str"/>
      <x:c r="P15" s="33" t="str"/>
      <x:c r="Q15" s="32" t="str"/>
      <x:c r="R15" s="33" t="str"/>
      <x:c r="S15" s="32" t="str"/>
      <x:c r="T15" s="33" t="str"/>
      <x:c r="U15" s="32" t="str"/>
      <x:c r="V15" s="33" t="str"/>
      <x:c r="W15" s="32" t="str"/>
      <x:c r="X15" s="33" t="str"/>
      <x:c r="Y15" s="32" t="str"/>
      <x:c r="Z15" s="33" t="str"/>
      <x:c r="AA15" s="36" t="str">
        <x:f>TRIM(IF(K15="","A ","")&amp;IF(M15="","B ","")&amp;IF(O15="","C ","")&amp;IF(Q15="","H ","")&amp;IF(S15="","K ","")&amp;IF(U15="","D ","")&amp;IF(W15="","E ","")&amp;IF(Y15="","F",""))</x:f>
        <x:v>A B C H K D E F</x:v>
      </x:c>
      <x:c r="AB15" s="32" t="str"/>
      <x:c r="AC15" s="32" t="str"/>
      <x:c r="AD15" s="32" t="str"/>
      <x:c r="AE15" s="32" t="str"/>
      <x:c r="AF15" s="32" t="str"/>
      <x:c r="AG15" s="32" t="str"/>
      <x:c r="AH15" s="34" t="str"/>
      <x:c r="AI15" s="34" t="str">
        <x:v>Interface constructeur</x:v>
      </x:c>
      <x:c r="AJ15" s="34" t="str"/>
      <x:c r="AK15" s="34" t="str"/>
      <x:c r="AL15" s="34" t="str">
        <x:v>Les cotes IEC autonomes ne s’appliquent pas ; voir la feuille Interfaces intégrées.</x:v>
      </x:c>
      <x:c r="AM15" s="35" t="str">
        <x:v>bonfiglioli:m1sc:j-0p00084-m-5p1</x:v>
      </x:c>
    </x:row>
    <x:row r="16">
      <x:c r="A16" s="31" t="str">
        <x:v>Non applicable</x:v>
      </x:c>
      <x:c r="B16" s="31" t="str">
        <x:v>M</x:v>
      </x:c>
      <x:c r="C16" s="31" t="str">
        <x:v>M 1SD</x:v>
      </x:c>
      <x:c r="D16" s="31" t="str">
        <x:v>j-0p00041-m-5p8</x:v>
      </x:c>
      <x:c r="E16" s="31" t="str">
        <x:v>2</x:v>
      </x:c>
      <x:c r="F16" s="31" t="str">
        <x:v>asynchronous</x:v>
      </x:c>
      <x:c r="G16" s="31"/>
      <x:c r="H16" s="32" t="str"/>
      <x:c r="I16" s="32" t="str">
        <x:v>Catalogue_BONFIGLIOLI_Moteur.pdf p.114</x:v>
      </x:c>
      <x:c r="J16" s="32" t="str">
        <x:v>Catalogue_BONFIGLIOLI_Moteur.pdf p.108-115 ; interface intégrée</x:v>
      </x:c>
      <x:c r="K16" s="32" t="str"/>
      <x:c r="L16" s="33" t="str"/>
      <x:c r="M16" s="32" t="str"/>
      <x:c r="N16" s="33" t="str"/>
      <x:c r="O16" s="32" t="str"/>
      <x:c r="P16" s="33" t="str"/>
      <x:c r="Q16" s="32" t="str"/>
      <x:c r="R16" s="33" t="str"/>
      <x:c r="S16" s="32" t="str"/>
      <x:c r="T16" s="33" t="str"/>
      <x:c r="U16" s="32" t="str"/>
      <x:c r="V16" s="33" t="str"/>
      <x:c r="W16" s="32" t="str"/>
      <x:c r="X16" s="33" t="str"/>
      <x:c r="Y16" s="32" t="str"/>
      <x:c r="Z16" s="33" t="str"/>
      <x:c r="AA16" s="36" t="str">
        <x:f>TRIM(IF(K16="","A ","")&amp;IF(M16="","B ","")&amp;IF(O16="","C ","")&amp;IF(Q16="","H ","")&amp;IF(S16="","K ","")&amp;IF(U16="","D ","")&amp;IF(W16="","E ","")&amp;IF(Y16="","F",""))</x:f>
        <x:v>A B C H K D E F</x:v>
      </x:c>
      <x:c r="AB16" s="32" t="str"/>
      <x:c r="AC16" s="32" t="str"/>
      <x:c r="AD16" s="32" t="str"/>
      <x:c r="AE16" s="32" t="str"/>
      <x:c r="AF16" s="32" t="str"/>
      <x:c r="AG16" s="32" t="str"/>
      <x:c r="AH16" s="34" t="str"/>
      <x:c r="AI16" s="34" t="str">
        <x:v>Interface constructeur</x:v>
      </x:c>
      <x:c r="AJ16" s="34" t="str"/>
      <x:c r="AK16" s="34" t="str"/>
      <x:c r="AL16" s="34" t="str">
        <x:v>Les cotes IEC autonomes ne s’appliquent pas ; voir la feuille Interfaces intégrées.</x:v>
      </x:c>
      <x:c r="AM16" s="35" t="str">
        <x:v>bonfiglioli:m1sd:j-0p00041-m-5p8</x:v>
      </x:c>
    </x:row>
    <x:row r="17">
      <x:c r="A17" s="31" t="str">
        <x:v>Non applicable</x:v>
      </x:c>
      <x:c r="B17" s="31" t="str">
        <x:v>M</x:v>
      </x:c>
      <x:c r="C17" s="31" t="str">
        <x:v>M 1SD</x:v>
      </x:c>
      <x:c r="D17" s="31" t="str">
        <x:v>j-0p0006900000000000001-m-5p5</x:v>
      </x:c>
      <x:c r="E17" s="31" t="str">
        <x:v>4</x:v>
      </x:c>
      <x:c r="F17" s="31" t="str">
        <x:v>asynchronous</x:v>
      </x:c>
      <x:c r="G17" s="31"/>
      <x:c r="H17" s="32" t="str"/>
      <x:c r="I17" s="32" t="str">
        <x:v>Catalogue_BONFIGLIOLI_Moteur.pdf p.114</x:v>
      </x:c>
      <x:c r="J17" s="32" t="str">
        <x:v>Catalogue_BONFIGLIOLI_Moteur.pdf p.108-115 ; interface intégrée</x:v>
      </x:c>
      <x:c r="K17" s="32" t="str"/>
      <x:c r="L17" s="33" t="str"/>
      <x:c r="M17" s="32" t="str"/>
      <x:c r="N17" s="33" t="str"/>
      <x:c r="O17" s="32" t="str"/>
      <x:c r="P17" s="33" t="str"/>
      <x:c r="Q17" s="32" t="str"/>
      <x:c r="R17" s="33" t="str"/>
      <x:c r="S17" s="32" t="str"/>
      <x:c r="T17" s="33" t="str"/>
      <x:c r="U17" s="32" t="str"/>
      <x:c r="V17" s="33" t="str"/>
      <x:c r="W17" s="32" t="str"/>
      <x:c r="X17" s="33" t="str"/>
      <x:c r="Y17" s="32" t="str"/>
      <x:c r="Z17" s="33" t="str"/>
      <x:c r="AA17" s="36" t="str">
        <x:f>TRIM(IF(K17="","A ","")&amp;IF(M17="","B ","")&amp;IF(O17="","C ","")&amp;IF(Q17="","H ","")&amp;IF(S17="","K ","")&amp;IF(U17="","D ","")&amp;IF(W17="","E ","")&amp;IF(Y17="","F",""))</x:f>
        <x:v>A B C H K D E F</x:v>
      </x:c>
      <x:c r="AB17" s="32" t="str"/>
      <x:c r="AC17" s="32" t="str"/>
      <x:c r="AD17" s="32" t="str"/>
      <x:c r="AE17" s="32" t="str"/>
      <x:c r="AF17" s="32" t="str"/>
      <x:c r="AG17" s="32" t="str"/>
      <x:c r="AH17" s="34" t="str"/>
      <x:c r="AI17" s="34" t="str">
        <x:v>Interface constructeur</x:v>
      </x:c>
      <x:c r="AJ17" s="34" t="str"/>
      <x:c r="AK17" s="34" t="str"/>
      <x:c r="AL17" s="34" t="str">
        <x:v>Les cotes IEC autonomes ne s’appliquent pas ; voir la feuille Interfaces intégrées.</x:v>
      </x:c>
      <x:c r="AM17" s="35" t="str">
        <x:v>bonfiglioli:m1sd:j-0p0006900000000000001-m-5p5</x:v>
      </x:c>
    </x:row>
    <x:row r="18">
      <x:c r="A18" s="31" t="str">
        <x:v>Non applicable</x:v>
      </x:c>
      <x:c r="B18" s="31" t="str">
        <x:v>M</x:v>
      </x:c>
      <x:c r="C18" s="31" t="str">
        <x:v>M 1SD</x:v>
      </x:c>
      <x:c r="D18" s="31" t="str">
        <x:v>j-0p00109-m-6p3</x:v>
      </x:c>
      <x:c r="E18" s="31" t="str">
        <x:v>6</x:v>
      </x:c>
      <x:c r="F18" s="31" t="str">
        <x:v>asynchronous</x:v>
      </x:c>
      <x:c r="G18" s="31"/>
      <x:c r="H18" s="32" t="str"/>
      <x:c r="I18" s="32" t="str">
        <x:v>Catalogue_BONFIGLIOLI_Moteur.pdf p.114</x:v>
      </x:c>
      <x:c r="J18" s="32" t="str">
        <x:v>Catalogue_BONFIGLIOLI_Moteur.pdf p.108-115 ; interface intégrée</x:v>
      </x:c>
      <x:c r="K18" s="32" t="str"/>
      <x:c r="L18" s="33" t="str"/>
      <x:c r="M18" s="32" t="str"/>
      <x:c r="N18" s="33" t="str"/>
      <x:c r="O18" s="32" t="str"/>
      <x:c r="P18" s="33" t="str"/>
      <x:c r="Q18" s="32" t="str"/>
      <x:c r="R18" s="33" t="str"/>
      <x:c r="S18" s="32" t="str"/>
      <x:c r="T18" s="33" t="str"/>
      <x:c r="U18" s="32" t="str"/>
      <x:c r="V18" s="33" t="str"/>
      <x:c r="W18" s="32" t="str"/>
      <x:c r="X18" s="33" t="str"/>
      <x:c r="Y18" s="32" t="str"/>
      <x:c r="Z18" s="33" t="str"/>
      <x:c r="AA18" s="36" t="str">
        <x:f>TRIM(IF(K18="","A ","")&amp;IF(M18="","B ","")&amp;IF(O18="","C ","")&amp;IF(Q18="","H ","")&amp;IF(S18="","K ","")&amp;IF(U18="","D ","")&amp;IF(W18="","E ","")&amp;IF(Y18="","F",""))</x:f>
        <x:v>A B C H K D E F</x:v>
      </x:c>
      <x:c r="AB18" s="32" t="str"/>
      <x:c r="AC18" s="32" t="str"/>
      <x:c r="AD18" s="32" t="str"/>
      <x:c r="AE18" s="32" t="str"/>
      <x:c r="AF18" s="32" t="str"/>
      <x:c r="AG18" s="32" t="str"/>
      <x:c r="AH18" s="34" t="str"/>
      <x:c r="AI18" s="34" t="str">
        <x:v>Interface constructeur</x:v>
      </x:c>
      <x:c r="AJ18" s="34" t="str"/>
      <x:c r="AK18" s="34" t="str"/>
      <x:c r="AL18" s="34" t="str">
        <x:v>Les cotes IEC autonomes ne s’appliquent pas ; voir la feuille Interfaces intégrées.</x:v>
      </x:c>
      <x:c r="AM18" s="35" t="str">
        <x:v>bonfiglioli:m1sd:j-0p00109-m-6p3</x:v>
      </x:c>
    </x:row>
    <x:row r="19">
      <x:c r="A19" s="31" t="str">
        <x:v>Non applicable</x:v>
      </x:c>
      <x:c r="B19" s="31" t="str">
        <x:v>M</x:v>
      </x:c>
      <x:c r="C19" s="31" t="str">
        <x:v>M 2SA</x:v>
      </x:c>
      <x:c r="D19" s="31" t="str">
        <x:v>j-0p0009000000000000001-m-8p8</x:v>
      </x:c>
      <x:c r="E19" s="31" t="str">
        <x:v>2</x:v>
      </x:c>
      <x:c r="F19" s="31" t="str">
        <x:v>asynchronous</x:v>
      </x:c>
      <x:c r="G19" s="31"/>
      <x:c r="H19" s="32" t="str"/>
      <x:c r="I19" s="32" t="str">
        <x:v>Catalogue_BONFIGLIOLI_Moteur.pdf p.114</x:v>
      </x:c>
      <x:c r="J19" s="32" t="str">
        <x:v>Catalogue_BONFIGLIOLI_Moteur.pdf p.108-115 ; interface intégrée</x:v>
      </x:c>
      <x:c r="K19" s="32" t="str"/>
      <x:c r="L19" s="33" t="str"/>
      <x:c r="M19" s="32" t="str"/>
      <x:c r="N19" s="33" t="str"/>
      <x:c r="O19" s="32" t="str"/>
      <x:c r="P19" s="33" t="str"/>
      <x:c r="Q19" s="32" t="str"/>
      <x:c r="R19" s="33" t="str"/>
      <x:c r="S19" s="32" t="str"/>
      <x:c r="T19" s="33" t="str"/>
      <x:c r="U19" s="32" t="str"/>
      <x:c r="V19" s="33" t="str"/>
      <x:c r="W19" s="32" t="str"/>
      <x:c r="X19" s="33" t="str"/>
      <x:c r="Y19" s="32" t="str"/>
      <x:c r="Z19" s="33" t="str"/>
      <x:c r="AA19" s="36" t="str">
        <x:f>TRIM(IF(K19="","A ","")&amp;IF(M19="","B ","")&amp;IF(O19="","C ","")&amp;IF(Q19="","H ","")&amp;IF(S19="","K ","")&amp;IF(U19="","D ","")&amp;IF(W19="","E ","")&amp;IF(Y19="","F",""))</x:f>
        <x:v>A B C H K D E F</x:v>
      </x:c>
      <x:c r="AB19" s="32" t="str"/>
      <x:c r="AC19" s="32" t="str"/>
      <x:c r="AD19" s="32" t="str"/>
      <x:c r="AE19" s="32" t="str"/>
      <x:c r="AF19" s="32" t="str"/>
      <x:c r="AG19" s="32" t="str"/>
      <x:c r="AH19" s="34" t="str"/>
      <x:c r="AI19" s="34" t="str">
        <x:v>Interface constructeur</x:v>
      </x:c>
      <x:c r="AJ19" s="34" t="str"/>
      <x:c r="AK19" s="34" t="str"/>
      <x:c r="AL19" s="34" t="str">
        <x:v>Les cotes IEC autonomes ne s’appliquent pas ; voir la feuille Interfaces intégrées.</x:v>
      </x:c>
      <x:c r="AM19" s="35" t="str">
        <x:v>bonfiglioli:m2sa:j-0p0009000000000000001-m-8p8</x:v>
      </x:c>
    </x:row>
    <x:row r="20">
      <x:c r="A20" s="31" t="str">
        <x:v>Non applicable</x:v>
      </x:c>
      <x:c r="B20" s="31" t="str">
        <x:v>M</x:v>
      </x:c>
      <x:c r="C20" s="31" t="str">
        <x:v>M 2SA</x:v>
      </x:c>
      <x:c r="D20" s="31" t="str">
        <x:v>j-0p002-m-9p1</x:v>
      </x:c>
      <x:c r="E20" s="31" t="str">
        <x:v>4</x:v>
      </x:c>
      <x:c r="F20" s="31" t="str">
        <x:v>asynchronous</x:v>
      </x:c>
      <x:c r="G20" s="31"/>
      <x:c r="H20" s="32" t="str"/>
      <x:c r="I20" s="32" t="str">
        <x:v>Catalogue_BONFIGLIOLI_Moteur.pdf p.114</x:v>
      </x:c>
      <x:c r="J20" s="32" t="str">
        <x:v>Catalogue_BONFIGLIOLI_Moteur.pdf p.108-115 ; interface intégrée</x:v>
      </x:c>
      <x:c r="K20" s="32" t="str"/>
      <x:c r="L20" s="33" t="str"/>
      <x:c r="M20" s="32" t="str"/>
      <x:c r="N20" s="33" t="str"/>
      <x:c r="O20" s="32" t="str"/>
      <x:c r="P20" s="33" t="str"/>
      <x:c r="Q20" s="32" t="str"/>
      <x:c r="R20" s="33" t="str"/>
      <x:c r="S20" s="32" t="str"/>
      <x:c r="T20" s="33" t="str"/>
      <x:c r="U20" s="32" t="str"/>
      <x:c r="V20" s="33" t="str"/>
      <x:c r="W20" s="32" t="str"/>
      <x:c r="X20" s="33" t="str"/>
      <x:c r="Y20" s="32" t="str"/>
      <x:c r="Z20" s="33" t="str"/>
      <x:c r="AA20" s="36" t="str">
        <x:f>TRIM(IF(K20="","A ","")&amp;IF(M20="","B ","")&amp;IF(O20="","C ","")&amp;IF(Q20="","H ","")&amp;IF(S20="","K ","")&amp;IF(U20="","D ","")&amp;IF(W20="","E ","")&amp;IF(Y20="","F",""))</x:f>
        <x:v>A B C H K D E F</x:v>
      </x:c>
      <x:c r="AB20" s="32" t="str"/>
      <x:c r="AC20" s="32" t="str"/>
      <x:c r="AD20" s="32" t="str"/>
      <x:c r="AE20" s="32" t="str"/>
      <x:c r="AF20" s="32" t="str"/>
      <x:c r="AG20" s="32" t="str"/>
      <x:c r="AH20" s="34" t="str"/>
      <x:c r="AI20" s="34" t="str">
        <x:v>Interface constructeur</x:v>
      </x:c>
      <x:c r="AJ20" s="34" t="str"/>
      <x:c r="AK20" s="34" t="str"/>
      <x:c r="AL20" s="34" t="str">
        <x:v>Les cotes IEC autonomes ne s’appliquent pas ; voir la feuille Interfaces intégrées.</x:v>
      </x:c>
      <x:c r="AM20" s="35" t="str">
        <x:v>bonfiglioli:m2sa:j-0p002-m-9p1</x:v>
      </x:c>
    </x:row>
    <x:row r="21">
      <x:c r="A21" s="31" t="str">
        <x:v>Non applicable</x:v>
      </x:c>
      <x:c r="B21" s="31" t="str">
        <x:v>M</x:v>
      </x:c>
      <x:c r="C21" s="31" t="str">
        <x:v>M 2SA</x:v>
      </x:c>
      <x:c r="D21" s="31" t="str">
        <x:v>j-0p002-m-9p2</x:v>
      </x:c>
      <x:c r="E21" s="31" t="str">
        <x:v>4</x:v>
      </x:c>
      <x:c r="F21" s="31" t="str">
        <x:v>asynchronous</x:v>
      </x:c>
      <x:c r="G21" s="31"/>
      <x:c r="H21" s="32" t="str"/>
      <x:c r="I21" s="32" t="str">
        <x:v>Catalogue_BONFIGLIOLI_Moteur.pdf p.114</x:v>
      </x:c>
      <x:c r="J21" s="32" t="str">
        <x:v>Catalogue_BONFIGLIOLI_Moteur.pdf p.108-115 ; interface intégrée</x:v>
      </x:c>
      <x:c r="K21" s="32" t="str"/>
      <x:c r="L21" s="33" t="str"/>
      <x:c r="M21" s="32" t="str"/>
      <x:c r="N21" s="33" t="str"/>
      <x:c r="O21" s="32" t="str"/>
      <x:c r="P21" s="33" t="str"/>
      <x:c r="Q21" s="32" t="str"/>
      <x:c r="R21" s="33" t="str"/>
      <x:c r="S21" s="32" t="str"/>
      <x:c r="T21" s="33" t="str"/>
      <x:c r="U21" s="32" t="str"/>
      <x:c r="V21" s="33" t="str"/>
      <x:c r="W21" s="32" t="str"/>
      <x:c r="X21" s="33" t="str"/>
      <x:c r="Y21" s="32" t="str"/>
      <x:c r="Z21" s="33" t="str"/>
      <x:c r="AA21" s="36" t="str">
        <x:f>TRIM(IF(K21="","A ","")&amp;IF(M21="","B ","")&amp;IF(O21="","C ","")&amp;IF(Q21="","H ","")&amp;IF(S21="","K ","")&amp;IF(U21="","D ","")&amp;IF(W21="","E ","")&amp;IF(Y21="","F",""))</x:f>
        <x:v>A B C H K D E F</x:v>
      </x:c>
      <x:c r="AB21" s="32" t="str"/>
      <x:c r="AC21" s="32" t="str"/>
      <x:c r="AD21" s="32" t="str"/>
      <x:c r="AE21" s="32" t="str"/>
      <x:c r="AF21" s="32" t="str"/>
      <x:c r="AG21" s="32" t="str"/>
      <x:c r="AH21" s="34" t="str"/>
      <x:c r="AI21" s="34" t="str">
        <x:v>Interface constructeur</x:v>
      </x:c>
      <x:c r="AJ21" s="34" t="str"/>
      <x:c r="AK21" s="34" t="str"/>
      <x:c r="AL21" s="34" t="str">
        <x:v>Les cotes IEC autonomes ne s’appliquent pas ; voir la feuille Interfaces intégrées.</x:v>
      </x:c>
      <x:c r="AM21" s="35" t="str">
        <x:v>bonfiglioli:m2sa:j-0p002-m-9p2</x:v>
      </x:c>
    </x:row>
    <x:row r="22">
      <x:c r="A22" s="31" t="str">
        <x:v>Non applicable</x:v>
      </x:c>
      <x:c r="B22" s="31" t="str">
        <x:v>M</x:v>
      </x:c>
      <x:c r="C22" s="31" t="str">
        <x:v>M 2SA</x:v>
      </x:c>
      <x:c r="D22" s="31" t="str">
        <x:v>j-0p0025-m-10p6</x:v>
      </x:c>
      <x:c r="E22" s="31" t="str">
        <x:v>6</x:v>
      </x:c>
      <x:c r="F22" s="31" t="str">
        <x:v>asynchronous</x:v>
      </x:c>
      <x:c r="G22" s="31"/>
      <x:c r="H22" s="32" t="str"/>
      <x:c r="I22" s="32" t="str">
        <x:v>Catalogue_BONFIGLIOLI_Moteur.pdf p.114</x:v>
      </x:c>
      <x:c r="J22" s="32" t="str">
        <x:v>Catalogue_BONFIGLIOLI_Moteur.pdf p.108-115 ; interface intégrée</x:v>
      </x:c>
      <x:c r="K22" s="32" t="str"/>
      <x:c r="L22" s="33" t="str"/>
      <x:c r="M22" s="32" t="str"/>
      <x:c r="N22" s="33" t="str"/>
      <x:c r="O22" s="32" t="str"/>
      <x:c r="P22" s="33" t="str"/>
      <x:c r="Q22" s="32" t="str"/>
      <x:c r="R22" s="33" t="str"/>
      <x:c r="S22" s="32" t="str"/>
      <x:c r="T22" s="33" t="str"/>
      <x:c r="U22" s="32" t="str"/>
      <x:c r="V22" s="33" t="str"/>
      <x:c r="W22" s="32" t="str"/>
      <x:c r="X22" s="33" t="str"/>
      <x:c r="Y22" s="32" t="str"/>
      <x:c r="Z22" s="33" t="str"/>
      <x:c r="AA22" s="36" t="str">
        <x:f>TRIM(IF(K22="","A ","")&amp;IF(M22="","B ","")&amp;IF(O22="","C ","")&amp;IF(Q22="","H ","")&amp;IF(S22="","K ","")&amp;IF(U22="","D ","")&amp;IF(W22="","E ","")&amp;IF(Y22="","F",""))</x:f>
        <x:v>A B C H K D E F</x:v>
      </x:c>
      <x:c r="AB22" s="32" t="str"/>
      <x:c r="AC22" s="32" t="str"/>
      <x:c r="AD22" s="32" t="str"/>
      <x:c r="AE22" s="32" t="str"/>
      <x:c r="AF22" s="32" t="str"/>
      <x:c r="AG22" s="32" t="str"/>
      <x:c r="AH22" s="34" t="str"/>
      <x:c r="AI22" s="34" t="str">
        <x:v>Interface constructeur</x:v>
      </x:c>
      <x:c r="AJ22" s="34" t="str"/>
      <x:c r="AK22" s="34" t="str"/>
      <x:c r="AL22" s="34" t="str">
        <x:v>Les cotes IEC autonomes ne s’appliquent pas ; voir la feuille Interfaces intégrées.</x:v>
      </x:c>
      <x:c r="AM22" s="35" t="str">
        <x:v>bonfiglioli:m2sa:j-0p0025-m-10p6</x:v>
      </x:c>
    </x:row>
    <x:row r="23">
      <x:c r="A23" s="31" t="str">
        <x:v>Non applicable</x:v>
      </x:c>
      <x:c r="B23" s="31" t="str">
        <x:v>M</x:v>
      </x:c>
      <x:c r="C23" s="31" t="str">
        <x:v>M 2SB</x:v>
      </x:c>
      <x:c r="D23" s="31" t="str">
        <x:v>j-0p0011400000000000002-m-10p4</x:v>
      </x:c>
      <x:c r="E23" s="31" t="str">
        <x:v>2</x:v>
      </x:c>
      <x:c r="F23" s="31" t="str">
        <x:v>asynchronous</x:v>
      </x:c>
      <x:c r="G23" s="31"/>
      <x:c r="H23" s="32" t="str"/>
      <x:c r="I23" s="32" t="str">
        <x:v>Catalogue_BONFIGLIOLI_Moteur.pdf p.114</x:v>
      </x:c>
      <x:c r="J23" s="32" t="str">
        <x:v>Catalogue_BONFIGLIOLI_Moteur.pdf p.108-115 ; interface intégrée</x:v>
      </x:c>
      <x:c r="K23" s="32" t="str"/>
      <x:c r="L23" s="33" t="str"/>
      <x:c r="M23" s="32" t="str"/>
      <x:c r="N23" s="33" t="str"/>
      <x:c r="O23" s="32" t="str"/>
      <x:c r="P23" s="33" t="str"/>
      <x:c r="Q23" s="32" t="str"/>
      <x:c r="R23" s="33" t="str"/>
      <x:c r="S23" s="32" t="str"/>
      <x:c r="T23" s="33" t="str"/>
      <x:c r="U23" s="32" t="str"/>
      <x:c r="V23" s="33" t="str"/>
      <x:c r="W23" s="32" t="str"/>
      <x:c r="X23" s="33" t="str"/>
      <x:c r="Y23" s="32" t="str"/>
      <x:c r="Z23" s="33" t="str"/>
      <x:c r="AA23" s="36" t="str">
        <x:f>TRIM(IF(K23="","A ","")&amp;IF(M23="","B ","")&amp;IF(O23="","C ","")&amp;IF(Q23="","H ","")&amp;IF(S23="","K ","")&amp;IF(U23="","D ","")&amp;IF(W23="","E ","")&amp;IF(Y23="","F",""))</x:f>
        <x:v>A B C H K D E F</x:v>
      </x:c>
      <x:c r="AB23" s="32" t="str"/>
      <x:c r="AC23" s="32" t="str"/>
      <x:c r="AD23" s="32" t="str"/>
      <x:c r="AE23" s="32" t="str"/>
      <x:c r="AF23" s="32" t="str"/>
      <x:c r="AG23" s="32" t="str"/>
      <x:c r="AH23" s="34" t="str"/>
      <x:c r="AI23" s="34" t="str">
        <x:v>Interface constructeur</x:v>
      </x:c>
      <x:c r="AJ23" s="34" t="str"/>
      <x:c r="AK23" s="34" t="str"/>
      <x:c r="AL23" s="34" t="str">
        <x:v>Les cotes IEC autonomes ne s’appliquent pas ; voir la feuille Interfaces intégrées.</x:v>
      </x:c>
      <x:c r="AM23" s="35" t="str">
        <x:v>bonfiglioli:m2sb:j-0p0011400000000000002-m-10p4</x:v>
      </x:c>
    </x:row>
    <x:row r="24">
      <x:c r="A24" s="31" t="str">
        <x:v>Non applicable</x:v>
      </x:c>
      <x:c r="B24" s="31" t="str">
        <x:v>M</x:v>
      </x:c>
      <x:c r="C24" s="31" t="str">
        <x:v>M 2SB</x:v>
      </x:c>
      <x:c r="D24" s="31" t="str">
        <x:v>j-0p0011400000000000002-m-10p6</x:v>
      </x:c>
      <x:c r="E24" s="31" t="str">
        <x:v>2</x:v>
      </x:c>
      <x:c r="F24" s="31" t="str">
        <x:v>asynchronous</x:v>
      </x:c>
      <x:c r="G24" s="31"/>
      <x:c r="H24" s="32" t="str"/>
      <x:c r="I24" s="32" t="str">
        <x:v>Catalogue_BONFIGLIOLI_Moteur.pdf p.114</x:v>
      </x:c>
      <x:c r="J24" s="32" t="str">
        <x:v>Catalogue_BONFIGLIOLI_Moteur.pdf p.108-115 ; interface intégrée</x:v>
      </x:c>
      <x:c r="K24" s="32" t="str"/>
      <x:c r="L24" s="33" t="str"/>
      <x:c r="M24" s="32" t="str"/>
      <x:c r="N24" s="33" t="str"/>
      <x:c r="O24" s="32" t="str"/>
      <x:c r="P24" s="33" t="str"/>
      <x:c r="Q24" s="32" t="str"/>
      <x:c r="R24" s="33" t="str"/>
      <x:c r="S24" s="32" t="str"/>
      <x:c r="T24" s="33" t="str"/>
      <x:c r="U24" s="32" t="str"/>
      <x:c r="V24" s="33" t="str"/>
      <x:c r="W24" s="32" t="str"/>
      <x:c r="X24" s="33" t="str"/>
      <x:c r="Y24" s="32" t="str"/>
      <x:c r="Z24" s="33" t="str"/>
      <x:c r="AA24" s="36" t="str">
        <x:f>TRIM(IF(K24="","A ","")&amp;IF(M24="","B ","")&amp;IF(O24="","C ","")&amp;IF(Q24="","H ","")&amp;IF(S24="","K ","")&amp;IF(U24="","D ","")&amp;IF(W24="","E ","")&amp;IF(Y24="","F",""))</x:f>
        <x:v>A B C H K D E F</x:v>
      </x:c>
      <x:c r="AB24" s="32" t="str"/>
      <x:c r="AC24" s="32" t="str"/>
      <x:c r="AD24" s="32" t="str"/>
      <x:c r="AE24" s="32" t="str"/>
      <x:c r="AF24" s="32" t="str"/>
      <x:c r="AG24" s="32" t="str"/>
      <x:c r="AH24" s="34" t="str"/>
      <x:c r="AI24" s="34" t="str">
        <x:v>Interface constructeur</x:v>
      </x:c>
      <x:c r="AJ24" s="34" t="str"/>
      <x:c r="AK24" s="34" t="str"/>
      <x:c r="AL24" s="34" t="str">
        <x:v>Les cotes IEC autonomes ne s’appliquent pas ; voir la feuille Interfaces intégrées.</x:v>
      </x:c>
      <x:c r="AM24" s="35" t="str">
        <x:v>bonfiglioli:m2sb:j-0p0011400000000000002-m-10p6</x:v>
      </x:c>
    </x:row>
    <x:row r="25">
      <x:c r="A25" s="31" t="str">
        <x:v>Non applicable</x:v>
      </x:c>
      <x:c r="B25" s="31" t="str">
        <x:v>M</x:v>
      </x:c>
      <x:c r="C25" s="31" t="str">
        <x:v>M 2SB</x:v>
      </x:c>
      <x:c r="D25" s="31" t="str">
        <x:v>j-0p0025-m-10p4</x:v>
      </x:c>
      <x:c r="E25" s="31" t="str">
        <x:v>4</x:v>
      </x:c>
      <x:c r="F25" s="31" t="str">
        <x:v>asynchronous</x:v>
      </x:c>
      <x:c r="G25" s="31"/>
      <x:c r="H25" s="32" t="str"/>
      <x:c r="I25" s="32" t="str">
        <x:v>Catalogue_BONFIGLIOLI_Moteur.pdf p.114</x:v>
      </x:c>
      <x:c r="J25" s="32" t="str">
        <x:v>Catalogue_BONFIGLIOLI_Moteur.pdf p.108-115 ; interface intégrée</x:v>
      </x:c>
      <x:c r="K25" s="32" t="str"/>
      <x:c r="L25" s="33" t="str"/>
      <x:c r="M25" s="32" t="str"/>
      <x:c r="N25" s="33" t="str"/>
      <x:c r="O25" s="32" t="str"/>
      <x:c r="P25" s="33" t="str"/>
      <x:c r="Q25" s="32" t="str"/>
      <x:c r="R25" s="33" t="str"/>
      <x:c r="S25" s="32" t="str"/>
      <x:c r="T25" s="33" t="str"/>
      <x:c r="U25" s="32" t="str"/>
      <x:c r="V25" s="33" t="str"/>
      <x:c r="W25" s="32" t="str"/>
      <x:c r="X25" s="33" t="str"/>
      <x:c r="Y25" s="32" t="str"/>
      <x:c r="Z25" s="33" t="str"/>
      <x:c r="AA25" s="36" t="str">
        <x:f>TRIM(IF(K25="","A ","")&amp;IF(M25="","B ","")&amp;IF(O25="","C ","")&amp;IF(Q25="","H ","")&amp;IF(S25="","K ","")&amp;IF(U25="","D ","")&amp;IF(W25="","E ","")&amp;IF(Y25="","F",""))</x:f>
        <x:v>A B C H K D E F</x:v>
      </x:c>
      <x:c r="AB25" s="32" t="str"/>
      <x:c r="AC25" s="32" t="str"/>
      <x:c r="AD25" s="32" t="str"/>
      <x:c r="AE25" s="32" t="str"/>
      <x:c r="AF25" s="32" t="str"/>
      <x:c r="AG25" s="32" t="str"/>
      <x:c r="AH25" s="34" t="str"/>
      <x:c r="AI25" s="34" t="str">
        <x:v>Interface constructeur</x:v>
      </x:c>
      <x:c r="AJ25" s="34" t="str"/>
      <x:c r="AK25" s="34" t="str"/>
      <x:c r="AL25" s="34" t="str">
        <x:v>Les cotes IEC autonomes ne s’appliquent pas ; voir la feuille Interfaces intégrées.</x:v>
      </x:c>
      <x:c r="AM25" s="35" t="str">
        <x:v>bonfiglioli:m2sb:j-0p0025-m-10p4</x:v>
      </x:c>
    </x:row>
    <x:row r="26">
      <x:c r="A26" s="31" t="str">
        <x:v>Non applicable</x:v>
      </x:c>
      <x:c r="B26" s="31" t="str">
        <x:v>M</x:v>
      </x:c>
      <x:c r="C26" s="31" t="str">
        <x:v>M 2SB</x:v>
      </x:c>
      <x:c r="D26" s="31" t="str">
        <x:v>j-0p0025-m-10p6</x:v>
      </x:c>
      <x:c r="E26" s="31" t="str">
        <x:v>4</x:v>
      </x:c>
      <x:c r="F26" s="31" t="str">
        <x:v>asynchronous</x:v>
      </x:c>
      <x:c r="G26" s="31"/>
      <x:c r="H26" s="32" t="str"/>
      <x:c r="I26" s="32" t="str">
        <x:v>Catalogue_BONFIGLIOLI_Moteur.pdf p.114</x:v>
      </x:c>
      <x:c r="J26" s="32" t="str">
        <x:v>Catalogue_BONFIGLIOLI_Moteur.pdf p.108-115 ; interface intégrée</x:v>
      </x:c>
      <x:c r="K26" s="32" t="str"/>
      <x:c r="L26" s="33" t="str"/>
      <x:c r="M26" s="32" t="str"/>
      <x:c r="N26" s="33" t="str"/>
      <x:c r="O26" s="32" t="str"/>
      <x:c r="P26" s="33" t="str"/>
      <x:c r="Q26" s="32" t="str"/>
      <x:c r="R26" s="33" t="str"/>
      <x:c r="S26" s="32" t="str"/>
      <x:c r="T26" s="33" t="str"/>
      <x:c r="U26" s="32" t="str"/>
      <x:c r="V26" s="33" t="str"/>
      <x:c r="W26" s="32" t="str"/>
      <x:c r="X26" s="33" t="str"/>
      <x:c r="Y26" s="32" t="str"/>
      <x:c r="Z26" s="33" t="str"/>
      <x:c r="AA26" s="36" t="str">
        <x:f>TRIM(IF(K26="","A ","")&amp;IF(M26="","B ","")&amp;IF(O26="","C ","")&amp;IF(Q26="","H ","")&amp;IF(S26="","K ","")&amp;IF(U26="","D ","")&amp;IF(W26="","E ","")&amp;IF(Y26="","F",""))</x:f>
        <x:v>A B C H K D E F</x:v>
      </x:c>
      <x:c r="AB26" s="32" t="str"/>
      <x:c r="AC26" s="32" t="str"/>
      <x:c r="AD26" s="32" t="str"/>
      <x:c r="AE26" s="32" t="str"/>
      <x:c r="AF26" s="32" t="str"/>
      <x:c r="AG26" s="32" t="str"/>
      <x:c r="AH26" s="34" t="str"/>
      <x:c r="AI26" s="34" t="str">
        <x:v>Interface constructeur</x:v>
      </x:c>
      <x:c r="AJ26" s="34" t="str"/>
      <x:c r="AK26" s="34" t="str"/>
      <x:c r="AL26" s="34" t="str">
        <x:v>Les cotes IEC autonomes ne s’appliquent pas ; voir la feuille Interfaces intégrées.</x:v>
      </x:c>
      <x:c r="AM26" s="35" t="str">
        <x:v>bonfiglioli:m2sb:j-0p0025-m-10p6</x:v>
      </x:c>
    </x:row>
    <x:row r="27">
      <x:c r="A27" s="31" t="str">
        <x:v>Non applicable</x:v>
      </x:c>
      <x:c r="B27" s="31" t="str">
        <x:v>M</x:v>
      </x:c>
      <x:c r="C27" s="31" t="str">
        <x:v>M 2SB</x:v>
      </x:c>
      <x:c r="D27" s="31" t="str">
        <x:v>j-0p0028-m-11p5</x:v>
      </x:c>
      <x:c r="E27" s="31" t="str">
        <x:v>6</x:v>
      </x:c>
      <x:c r="F27" s="31" t="str">
        <x:v>asynchronous</x:v>
      </x:c>
      <x:c r="G27" s="31"/>
      <x:c r="H27" s="32" t="str"/>
      <x:c r="I27" s="32" t="str">
        <x:v>Catalogue_BONFIGLIOLI_Moteur.pdf p.114</x:v>
      </x:c>
      <x:c r="J27" s="32" t="str">
        <x:v>Catalogue_BONFIGLIOLI_Moteur.pdf p.108-115 ; interface intégrée</x:v>
      </x:c>
      <x:c r="K27" s="32" t="str"/>
      <x:c r="L27" s="33" t="str"/>
      <x:c r="M27" s="32" t="str"/>
      <x:c r="N27" s="33" t="str"/>
      <x:c r="O27" s="32" t="str"/>
      <x:c r="P27" s="33" t="str"/>
      <x:c r="Q27" s="32" t="str"/>
      <x:c r="R27" s="33" t="str"/>
      <x:c r="S27" s="32" t="str"/>
      <x:c r="T27" s="33" t="str"/>
      <x:c r="U27" s="32" t="str"/>
      <x:c r="V27" s="33" t="str"/>
      <x:c r="W27" s="32" t="str"/>
      <x:c r="X27" s="33" t="str"/>
      <x:c r="Y27" s="32" t="str"/>
      <x:c r="Z27" s="33" t="str"/>
      <x:c r="AA27" s="36" t="str">
        <x:f>TRIM(IF(K27="","A ","")&amp;IF(M27="","B ","")&amp;IF(O27="","C ","")&amp;IF(Q27="","H ","")&amp;IF(S27="","K ","")&amp;IF(U27="","D ","")&amp;IF(W27="","E ","")&amp;IF(Y27="","F",""))</x:f>
        <x:v>A B C H K D E F</x:v>
      </x:c>
      <x:c r="AB27" s="32" t="str"/>
      <x:c r="AC27" s="32" t="str"/>
      <x:c r="AD27" s="32" t="str"/>
      <x:c r="AE27" s="32" t="str"/>
      <x:c r="AF27" s="32" t="str"/>
      <x:c r="AG27" s="32" t="str"/>
      <x:c r="AH27" s="34" t="str"/>
      <x:c r="AI27" s="34" t="str">
        <x:v>Interface constructeur</x:v>
      </x:c>
      <x:c r="AJ27" s="34" t="str"/>
      <x:c r="AK27" s="34" t="str"/>
      <x:c r="AL27" s="34" t="str">
        <x:v>Les cotes IEC autonomes ne s’appliquent pas ; voir la feuille Interfaces intégrées.</x:v>
      </x:c>
      <x:c r="AM27" s="35" t="str">
        <x:v>bonfiglioli:m2sb:j-0p0028-m-11p5</x:v>
      </x:c>
    </x:row>
    <x:row r="28">
      <x:c r="A28" s="31" t="str">
        <x:v>Non applicable</x:v>
      </x:c>
      <x:c r="B28" s="31" t="str">
        <x:v>M</x:v>
      </x:c>
      <x:c r="C28" s="31" t="str">
        <x:v>M 3LA</x:v>
      </x:c>
      <x:c r="D28" s="31" t="str">
        <x:v>j-0p0031000000000000003-m-18p7</x:v>
      </x:c>
      <x:c r="E28" s="31" t="str">
        <x:v>2</x:v>
      </x:c>
      <x:c r="F28" s="31" t="str">
        <x:v>asynchronous</x:v>
      </x:c>
      <x:c r="G28" s="31"/>
      <x:c r="H28" s="32" t="str"/>
      <x:c r="I28" s="32" t="str">
        <x:v>Catalogue_BONFIGLIOLI_Moteur.pdf p.114</x:v>
      </x:c>
      <x:c r="J28" s="32" t="str">
        <x:v>Catalogue_BONFIGLIOLI_Moteur.pdf p.108-115 ; interface intégrée</x:v>
      </x:c>
      <x:c r="K28" s="32" t="str"/>
      <x:c r="L28" s="33" t="str"/>
      <x:c r="M28" s="32" t="str"/>
      <x:c r="N28" s="33" t="str"/>
      <x:c r="O28" s="32" t="str"/>
      <x:c r="P28" s="33" t="str"/>
      <x:c r="Q28" s="32" t="str"/>
      <x:c r="R28" s="33" t="str"/>
      <x:c r="S28" s="32" t="str"/>
      <x:c r="T28" s="33" t="str"/>
      <x:c r="U28" s="32" t="str"/>
      <x:c r="V28" s="33" t="str"/>
      <x:c r="W28" s="32" t="str"/>
      <x:c r="X28" s="33" t="str"/>
      <x:c r="Y28" s="32" t="str"/>
      <x:c r="Z28" s="33" t="str"/>
      <x:c r="AA28" s="36" t="str">
        <x:f>TRIM(IF(K28="","A ","")&amp;IF(M28="","B ","")&amp;IF(O28="","C ","")&amp;IF(Q28="","H ","")&amp;IF(S28="","K ","")&amp;IF(U28="","D ","")&amp;IF(W28="","E ","")&amp;IF(Y28="","F",""))</x:f>
        <x:v>A B C H K D E F</x:v>
      </x:c>
      <x:c r="AB28" s="32" t="str"/>
      <x:c r="AC28" s="32" t="str"/>
      <x:c r="AD28" s="32" t="str"/>
      <x:c r="AE28" s="32" t="str"/>
      <x:c r="AF28" s="32" t="str"/>
      <x:c r="AG28" s="32" t="str"/>
      <x:c r="AH28" s="34" t="str"/>
      <x:c r="AI28" s="34" t="str">
        <x:v>Interface constructeur</x:v>
      </x:c>
      <x:c r="AJ28" s="34" t="str"/>
      <x:c r="AK28" s="34" t="str"/>
      <x:c r="AL28" s="34" t="str">
        <x:v>Les cotes IEC autonomes ne s’appliquent pas ; voir la feuille Interfaces intégrées.</x:v>
      </x:c>
      <x:c r="AM28" s="35" t="str">
        <x:v>bonfiglioli:m3la:j-0p0031000000000000003-m-18p7</x:v>
      </x:c>
    </x:row>
    <x:row r="29">
      <x:c r="A29" s="31" t="str">
        <x:v>Non applicable</x:v>
      </x:c>
      <x:c r="B29" s="31" t="str">
        <x:v>M</x:v>
      </x:c>
      <x:c r="C29" s="31" t="str">
        <x:v>M 3LA</x:v>
      </x:c>
      <x:c r="D29" s="31" t="str">
        <x:v>j-0p004-m-16p8</x:v>
      </x:c>
      <x:c r="E29" s="31" t="str">
        <x:v>4</x:v>
      </x:c>
      <x:c r="F29" s="31" t="str">
        <x:v>asynchronous</x:v>
      </x:c>
      <x:c r="G29" s="31"/>
      <x:c r="H29" s="32" t="str"/>
      <x:c r="I29" s="32" t="str">
        <x:v>Catalogue_BONFIGLIOLI_Moteur.pdf p.114</x:v>
      </x:c>
      <x:c r="J29" s="32" t="str">
        <x:v>Catalogue_BONFIGLIOLI_Moteur.pdf p.108-115 ; interface intégrée</x:v>
      </x:c>
      <x:c r="K29" s="32" t="str"/>
      <x:c r="L29" s="33" t="str"/>
      <x:c r="M29" s="32" t="str"/>
      <x:c r="N29" s="33" t="str"/>
      <x:c r="O29" s="32" t="str"/>
      <x:c r="P29" s="33" t="str"/>
      <x:c r="Q29" s="32" t="str"/>
      <x:c r="R29" s="33" t="str"/>
      <x:c r="S29" s="32" t="str"/>
      <x:c r="T29" s="33" t="str"/>
      <x:c r="U29" s="32" t="str"/>
      <x:c r="V29" s="33" t="str"/>
      <x:c r="W29" s="32" t="str"/>
      <x:c r="X29" s="33" t="str"/>
      <x:c r="Y29" s="32" t="str"/>
      <x:c r="Z29" s="33" t="str"/>
      <x:c r="AA29" s="36" t="str">
        <x:f>TRIM(IF(K29="","A ","")&amp;IF(M29="","B ","")&amp;IF(O29="","C ","")&amp;IF(Q29="","H ","")&amp;IF(S29="","K ","")&amp;IF(U29="","D ","")&amp;IF(W29="","E ","")&amp;IF(Y29="","F",""))</x:f>
        <x:v>A B C H K D E F</x:v>
      </x:c>
      <x:c r="AB29" s="32" t="str"/>
      <x:c r="AC29" s="32" t="str"/>
      <x:c r="AD29" s="32" t="str"/>
      <x:c r="AE29" s="32" t="str"/>
      <x:c r="AF29" s="32" t="str"/>
      <x:c r="AG29" s="32" t="str"/>
      <x:c r="AH29" s="34" t="str"/>
      <x:c r="AI29" s="34" t="str">
        <x:v>Interface constructeur</x:v>
      </x:c>
      <x:c r="AJ29" s="34" t="str"/>
      <x:c r="AK29" s="34" t="str"/>
      <x:c r="AL29" s="34" t="str">
        <x:v>Les cotes IEC autonomes ne s’appliquent pas ; voir la feuille Interfaces intégrées.</x:v>
      </x:c>
      <x:c r="AM29" s="35" t="str">
        <x:v>bonfiglioli:m3la:j-0p004-m-16p8</x:v>
      </x:c>
    </x:row>
    <x:row r="30">
      <x:c r="A30" s="31" t="str">
        <x:v>Non applicable</x:v>
      </x:c>
      <x:c r="B30" s="31" t="str">
        <x:v>M</x:v>
      </x:c>
      <x:c r="C30" s="31" t="str">
        <x:v>M 3LA</x:v>
      </x:c>
      <x:c r="D30" s="31" t="str">
        <x:v>j-0p004-m-17</x:v>
      </x:c>
      <x:c r="E30" s="31" t="str">
        <x:v>4</x:v>
      </x:c>
      <x:c r="F30" s="31" t="str">
        <x:v>asynchronous</x:v>
      </x:c>
      <x:c r="G30" s="31"/>
      <x:c r="H30" s="32" t="str"/>
      <x:c r="I30" s="32" t="str">
        <x:v>Catalogue_BONFIGLIOLI_Moteur.pdf p.114</x:v>
      </x:c>
      <x:c r="J30" s="32" t="str">
        <x:v>Catalogue_BONFIGLIOLI_Moteur.pdf p.108-115 ; interface intégrée</x:v>
      </x:c>
      <x:c r="K30" s="32" t="str"/>
      <x:c r="L30" s="33" t="str"/>
      <x:c r="M30" s="32" t="str"/>
      <x:c r="N30" s="33" t="str"/>
      <x:c r="O30" s="32" t="str"/>
      <x:c r="P30" s="33" t="str"/>
      <x:c r="Q30" s="32" t="str"/>
      <x:c r="R30" s="33" t="str"/>
      <x:c r="S30" s="32" t="str"/>
      <x:c r="T30" s="33" t="str"/>
      <x:c r="U30" s="32" t="str"/>
      <x:c r="V30" s="33" t="str"/>
      <x:c r="W30" s="32" t="str"/>
      <x:c r="X30" s="33" t="str"/>
      <x:c r="Y30" s="32" t="str"/>
      <x:c r="Z30" s="33" t="str"/>
      <x:c r="AA30" s="36" t="str">
        <x:f>TRIM(IF(K30="","A ","")&amp;IF(M30="","B ","")&amp;IF(O30="","C ","")&amp;IF(Q30="","H ","")&amp;IF(S30="","K ","")&amp;IF(U30="","D ","")&amp;IF(W30="","E ","")&amp;IF(Y30="","F",""))</x:f>
        <x:v>A B C H K D E F</x:v>
      </x:c>
      <x:c r="AB30" s="32" t="str"/>
      <x:c r="AC30" s="32" t="str"/>
      <x:c r="AD30" s="32" t="str"/>
      <x:c r="AE30" s="32" t="str"/>
      <x:c r="AF30" s="32" t="str"/>
      <x:c r="AG30" s="32" t="str"/>
      <x:c r="AH30" s="34" t="str"/>
      <x:c r="AI30" s="34" t="str">
        <x:v>Interface constructeur</x:v>
      </x:c>
      <x:c r="AJ30" s="34" t="str"/>
      <x:c r="AK30" s="34" t="str"/>
      <x:c r="AL30" s="34" t="str">
        <x:v>Les cotes IEC autonomes ne s’appliquent pas ; voir la feuille Interfaces intégrées.</x:v>
      </x:c>
      <x:c r="AM30" s="35" t="str">
        <x:v>bonfiglioli:m3la:j-0p004-m-17</x:v>
      </x:c>
    </x:row>
    <x:row r="31">
      <x:c r="A31" s="31" t="str">
        <x:v>Non applicable</x:v>
      </x:c>
      <x:c r="B31" s="31" t="str">
        <x:v>M</x:v>
      </x:c>
      <x:c r="C31" s="31" t="str">
        <x:v>M 3LA</x:v>
      </x:c>
      <x:c r="D31" s="31" t="str">
        <x:v>j-0p0082-m-21</x:v>
      </x:c>
      <x:c r="E31" s="31" t="str">
        <x:v>6</x:v>
      </x:c>
      <x:c r="F31" s="31" t="str">
        <x:v>asynchronous</x:v>
      </x:c>
      <x:c r="G31" s="31"/>
      <x:c r="H31" s="32" t="str"/>
      <x:c r="I31" s="32" t="str">
        <x:v>Catalogue_BONFIGLIOLI_Moteur.pdf p.114</x:v>
      </x:c>
      <x:c r="J31" s="32" t="str">
        <x:v>Catalogue_BONFIGLIOLI_Moteur.pdf p.108-115 ; interface intégrée</x:v>
      </x:c>
      <x:c r="K31" s="32" t="str"/>
      <x:c r="L31" s="33" t="str"/>
      <x:c r="M31" s="32" t="str"/>
      <x:c r="N31" s="33" t="str"/>
      <x:c r="O31" s="32" t="str"/>
      <x:c r="P31" s="33" t="str"/>
      <x:c r="Q31" s="32" t="str"/>
      <x:c r="R31" s="33" t="str"/>
      <x:c r="S31" s="32" t="str"/>
      <x:c r="T31" s="33" t="str"/>
      <x:c r="U31" s="32" t="str"/>
      <x:c r="V31" s="33" t="str"/>
      <x:c r="W31" s="32" t="str"/>
      <x:c r="X31" s="33" t="str"/>
      <x:c r="Y31" s="32" t="str"/>
      <x:c r="Z31" s="33" t="str"/>
      <x:c r="AA31" s="36" t="str">
        <x:f>TRIM(IF(K31="","A ","")&amp;IF(M31="","B ","")&amp;IF(O31="","C ","")&amp;IF(Q31="","H ","")&amp;IF(S31="","K ","")&amp;IF(U31="","D ","")&amp;IF(W31="","E ","")&amp;IF(Y31="","F",""))</x:f>
        <x:v>A B C H K D E F</x:v>
      </x:c>
      <x:c r="AB31" s="32" t="str"/>
      <x:c r="AC31" s="32" t="str"/>
      <x:c r="AD31" s="32" t="str"/>
      <x:c r="AE31" s="32" t="str"/>
      <x:c r="AF31" s="32" t="str"/>
      <x:c r="AG31" s="32" t="str"/>
      <x:c r="AH31" s="34" t="str"/>
      <x:c r="AI31" s="34" t="str">
        <x:v>Interface constructeur</x:v>
      </x:c>
      <x:c r="AJ31" s="34" t="str"/>
      <x:c r="AK31" s="34" t="str"/>
      <x:c r="AL31" s="34" t="str">
        <x:v>Les cotes IEC autonomes ne s’appliquent pas ; voir la feuille Interfaces intégrées.</x:v>
      </x:c>
      <x:c r="AM31" s="35" t="str">
        <x:v>bonfiglioli:m3la:j-0p0082-m-21</x:v>
      </x:c>
    </x:row>
    <x:row r="32">
      <x:c r="A32" s="31" t="str">
        <x:v>Non applicable</x:v>
      </x:c>
      <x:c r="B32" s="31" t="str">
        <x:v>M</x:v>
      </x:c>
      <x:c r="C32" s="31" t="str">
        <x:v>M 3LB</x:v>
      </x:c>
      <x:c r="D32" s="31" t="str">
        <x:v>j-0p0039000000000000003-m-22</x:v>
      </x:c>
      <x:c r="E32" s="31" t="str">
        <x:v>2</x:v>
      </x:c>
      <x:c r="F32" s="31" t="str">
        <x:v>asynchronous</x:v>
      </x:c>
      <x:c r="G32" s="31"/>
      <x:c r="H32" s="32" t="str"/>
      <x:c r="I32" s="32" t="str">
        <x:v>Catalogue_BONFIGLIOLI_Moteur.pdf p.114</x:v>
      </x:c>
      <x:c r="J32" s="32" t="str">
        <x:v>Catalogue_BONFIGLIOLI_Moteur.pdf p.108-115 ; interface intégrée</x:v>
      </x:c>
      <x:c r="K32" s="32" t="str"/>
      <x:c r="L32" s="33" t="str"/>
      <x:c r="M32" s="32" t="str"/>
      <x:c r="N32" s="33" t="str"/>
      <x:c r="O32" s="32" t="str"/>
      <x:c r="P32" s="33" t="str"/>
      <x:c r="Q32" s="32" t="str"/>
      <x:c r="R32" s="33" t="str"/>
      <x:c r="S32" s="32" t="str"/>
      <x:c r="T32" s="33" t="str"/>
      <x:c r="U32" s="32" t="str"/>
      <x:c r="V32" s="33" t="str"/>
      <x:c r="W32" s="32" t="str"/>
      <x:c r="X32" s="33" t="str"/>
      <x:c r="Y32" s="32" t="str"/>
      <x:c r="Z32" s="33" t="str"/>
      <x:c r="AA32" s="36" t="str">
        <x:f>TRIM(IF(K32="","A ","")&amp;IF(M32="","B ","")&amp;IF(O32="","C ","")&amp;IF(Q32="","H ","")&amp;IF(S32="","K ","")&amp;IF(U32="","D ","")&amp;IF(W32="","E ","")&amp;IF(Y32="","F",""))</x:f>
        <x:v>A B C H K D E F</x:v>
      </x:c>
      <x:c r="AB32" s="32" t="str"/>
      <x:c r="AC32" s="32" t="str"/>
      <x:c r="AD32" s="32" t="str"/>
      <x:c r="AE32" s="32" t="str"/>
      <x:c r="AF32" s="32" t="str"/>
      <x:c r="AG32" s="32" t="str"/>
      <x:c r="AH32" s="34" t="str"/>
      <x:c r="AI32" s="34" t="str">
        <x:v>Interface constructeur</x:v>
      </x:c>
      <x:c r="AJ32" s="34" t="str"/>
      <x:c r="AK32" s="34" t="str"/>
      <x:c r="AL32" s="34" t="str">
        <x:v>Les cotes IEC autonomes ne s’appliquent pas ; voir la feuille Interfaces intégrées.</x:v>
      </x:c>
      <x:c r="AM32" s="35" t="str">
        <x:v>bonfiglioli:m3lb:j-0p0039000000000000003-m-22</x:v>
      </x:c>
    </x:row>
    <x:row r="33">
      <x:c r="A33" s="31" t="str">
        <x:v>Non applicable</x:v>
      </x:c>
      <x:c r="B33" s="31" t="str">
        <x:v>M</x:v>
      </x:c>
      <x:c r="C33" s="31" t="str">
        <x:v>M 3LB</x:v>
      </x:c>
      <x:c r="D33" s="31" t="str">
        <x:v>j-0p0054-m-21</x:v>
      </x:c>
      <x:c r="E33" s="31" t="str">
        <x:v>4</x:v>
      </x:c>
      <x:c r="F33" s="31" t="str">
        <x:v>asynchronous</x:v>
      </x:c>
      <x:c r="G33" s="31"/>
      <x:c r="H33" s="32" t="str"/>
      <x:c r="I33" s="32" t="str">
        <x:v>Catalogue_BONFIGLIOLI_Moteur.pdf p.114</x:v>
      </x:c>
      <x:c r="J33" s="32" t="str">
        <x:v>Catalogue_BONFIGLIOLI_Moteur.pdf p.108-115 ; interface intégrée</x:v>
      </x:c>
      <x:c r="K33" s="32" t="str"/>
      <x:c r="L33" s="33" t="str"/>
      <x:c r="M33" s="32" t="str"/>
      <x:c r="N33" s="33" t="str"/>
      <x:c r="O33" s="32" t="str"/>
      <x:c r="P33" s="33" t="str"/>
      <x:c r="Q33" s="32" t="str"/>
      <x:c r="R33" s="33" t="str"/>
      <x:c r="S33" s="32" t="str"/>
      <x:c r="T33" s="33" t="str"/>
      <x:c r="U33" s="32" t="str"/>
      <x:c r="V33" s="33" t="str"/>
      <x:c r="W33" s="32" t="str"/>
      <x:c r="X33" s="33" t="str"/>
      <x:c r="Y33" s="32" t="str"/>
      <x:c r="Z33" s="33" t="str"/>
      <x:c r="AA33" s="36" t="str">
        <x:f>TRIM(IF(K33="","A ","")&amp;IF(M33="","B ","")&amp;IF(O33="","C ","")&amp;IF(Q33="","H ","")&amp;IF(S33="","K ","")&amp;IF(U33="","D ","")&amp;IF(W33="","E ","")&amp;IF(Y33="","F",""))</x:f>
        <x:v>A B C H K D E F</x:v>
      </x:c>
      <x:c r="AB33" s="32" t="str"/>
      <x:c r="AC33" s="32" t="str"/>
      <x:c r="AD33" s="32" t="str"/>
      <x:c r="AE33" s="32" t="str"/>
      <x:c r="AF33" s="32" t="str"/>
      <x:c r="AG33" s="32" t="str"/>
      <x:c r="AH33" s="34" t="str"/>
      <x:c r="AI33" s="34" t="str">
        <x:v>Interface constructeur</x:v>
      </x:c>
      <x:c r="AJ33" s="34" t="str"/>
      <x:c r="AK33" s="34" t="str"/>
      <x:c r="AL33" s="34" t="str">
        <x:v>Les cotes IEC autonomes ne s’appliquent pas ; voir la feuille Interfaces intégrées.</x:v>
      </x:c>
      <x:c r="AM33" s="35" t="str">
        <x:v>bonfiglioli:m3lb:j-0p0054-m-21</x:v>
      </x:c>
    </x:row>
    <x:row r="34">
      <x:c r="A34" s="31" t="str">
        <x:v>Non applicable</x:v>
      </x:c>
      <x:c r="B34" s="31" t="str">
        <x:v>M</x:v>
      </x:c>
      <x:c r="C34" s="31" t="str">
        <x:v>M 3LB</x:v>
      </x:c>
      <x:c r="D34" s="31" t="str">
        <x:v>j-0p0095-m-23</x:v>
      </x:c>
      <x:c r="E34" s="31" t="str">
        <x:v>6</x:v>
      </x:c>
      <x:c r="F34" s="31" t="str">
        <x:v>asynchronous</x:v>
      </x:c>
      <x:c r="G34" s="31"/>
      <x:c r="H34" s="32" t="str"/>
      <x:c r="I34" s="32" t="str">
        <x:v>Catalogue_BONFIGLIOLI_Moteur.pdf p.114</x:v>
      </x:c>
      <x:c r="J34" s="32" t="str">
        <x:v>Catalogue_BONFIGLIOLI_Moteur.pdf p.108-115 ; interface intégrée</x:v>
      </x:c>
      <x:c r="K34" s="32" t="str"/>
      <x:c r="L34" s="33" t="str"/>
      <x:c r="M34" s="32" t="str"/>
      <x:c r="N34" s="33" t="str"/>
      <x:c r="O34" s="32" t="str"/>
      <x:c r="P34" s="33" t="str"/>
      <x:c r="Q34" s="32" t="str"/>
      <x:c r="R34" s="33" t="str"/>
      <x:c r="S34" s="32" t="str"/>
      <x:c r="T34" s="33" t="str"/>
      <x:c r="U34" s="32" t="str"/>
      <x:c r="V34" s="33" t="str"/>
      <x:c r="W34" s="32" t="str"/>
      <x:c r="X34" s="33" t="str"/>
      <x:c r="Y34" s="32" t="str"/>
      <x:c r="Z34" s="33" t="str"/>
      <x:c r="AA34" s="36" t="str">
        <x:f>TRIM(IF(K34="","A ","")&amp;IF(M34="","B ","")&amp;IF(O34="","C ","")&amp;IF(Q34="","H ","")&amp;IF(S34="","K ","")&amp;IF(U34="","D ","")&amp;IF(W34="","E ","")&amp;IF(Y34="","F",""))</x:f>
        <x:v>A B C H K D E F</x:v>
      </x:c>
      <x:c r="AB34" s="32" t="str"/>
      <x:c r="AC34" s="32" t="str"/>
      <x:c r="AD34" s="32" t="str"/>
      <x:c r="AE34" s="32" t="str"/>
      <x:c r="AF34" s="32" t="str"/>
      <x:c r="AG34" s="32" t="str"/>
      <x:c r="AH34" s="34" t="str"/>
      <x:c r="AI34" s="34" t="str">
        <x:v>Interface constructeur</x:v>
      </x:c>
      <x:c r="AJ34" s="34" t="str"/>
      <x:c r="AK34" s="34" t="str"/>
      <x:c r="AL34" s="34" t="str">
        <x:v>Les cotes IEC autonomes ne s’appliquent pas ; voir la feuille Interfaces intégrées.</x:v>
      </x:c>
      <x:c r="AM34" s="35" t="str">
        <x:v>bonfiglioli:m3lb:j-0p0095-m-23</x:v>
      </x:c>
    </x:row>
    <x:row r="35">
      <x:c r="A35" s="31" t="str">
        <x:v>Non applicable</x:v>
      </x:c>
      <x:c r="B35" s="31" t="str">
        <x:v>M</x:v>
      </x:c>
      <x:c r="C35" s="31" t="str">
        <x:v>M 3LC</x:v>
      </x:c>
      <x:c r="D35" s="31" t="str">
        <x:v>j-0p0061-m-23</x:v>
      </x:c>
      <x:c r="E35" s="31" t="str">
        <x:v>4</x:v>
      </x:c>
      <x:c r="F35" s="31" t="str">
        <x:v>asynchronous</x:v>
      </x:c>
      <x:c r="G35" s="31"/>
      <x:c r="H35" s="32" t="str"/>
      <x:c r="I35" s="32" t="str">
        <x:v>Catalogue_BONFIGLIOLI_Moteur.pdf p.114</x:v>
      </x:c>
      <x:c r="J35" s="32" t="str">
        <x:v>Catalogue_BONFIGLIOLI_Moteur.pdf p.108-115 ; interface intégrée</x:v>
      </x:c>
      <x:c r="K35" s="32" t="str"/>
      <x:c r="L35" s="33" t="str"/>
      <x:c r="M35" s="32" t="str"/>
      <x:c r="N35" s="33" t="str"/>
      <x:c r="O35" s="32" t="str"/>
      <x:c r="P35" s="33" t="str"/>
      <x:c r="Q35" s="32" t="str"/>
      <x:c r="R35" s="33" t="str"/>
      <x:c r="S35" s="32" t="str"/>
      <x:c r="T35" s="33" t="str"/>
      <x:c r="U35" s="32" t="str"/>
      <x:c r="V35" s="33" t="str"/>
      <x:c r="W35" s="32" t="str"/>
      <x:c r="X35" s="33" t="str"/>
      <x:c r="Y35" s="32" t="str"/>
      <x:c r="Z35" s="33" t="str"/>
      <x:c r="AA35" s="36" t="str">
        <x:f>TRIM(IF(K35="","A ","")&amp;IF(M35="","B ","")&amp;IF(O35="","C ","")&amp;IF(Q35="","H ","")&amp;IF(S35="","K ","")&amp;IF(U35="","D ","")&amp;IF(W35="","E ","")&amp;IF(Y35="","F",""))</x:f>
        <x:v>A B C H K D E F</x:v>
      </x:c>
      <x:c r="AB35" s="32" t="str"/>
      <x:c r="AC35" s="32" t="str"/>
      <x:c r="AD35" s="32" t="str"/>
      <x:c r="AE35" s="32" t="str"/>
      <x:c r="AF35" s="32" t="str"/>
      <x:c r="AG35" s="32" t="str"/>
      <x:c r="AH35" s="34" t="str"/>
      <x:c r="AI35" s="34" t="str">
        <x:v>Interface constructeur</x:v>
      </x:c>
      <x:c r="AJ35" s="34" t="str"/>
      <x:c r="AK35" s="34" t="str"/>
      <x:c r="AL35" s="34" t="str">
        <x:v>Les cotes IEC autonomes ne s’appliquent pas ; voir la feuille Interfaces intégrées.</x:v>
      </x:c>
      <x:c r="AM35" s="35" t="str">
        <x:v>bonfiglioli:m3lc:j-0p0061-m-23</x:v>
      </x:c>
    </x:row>
    <x:row r="36">
      <x:c r="A36" s="31" t="str">
        <x:v>Non applicable</x:v>
      </x:c>
      <x:c r="B36" s="31" t="str">
        <x:v>M</x:v>
      </x:c>
      <x:c r="C36" s="31" t="str">
        <x:v>M 3LC</x:v>
      </x:c>
      <x:c r="D36" s="31" t="str">
        <x:v>j-0p0095-m-23</x:v>
      </x:c>
      <x:c r="E36" s="31" t="str">
        <x:v>6</x:v>
      </x:c>
      <x:c r="F36" s="31" t="str">
        <x:v>asynchronous</x:v>
      </x:c>
      <x:c r="G36" s="31"/>
      <x:c r="H36" s="32" t="str"/>
      <x:c r="I36" s="32" t="str">
        <x:v>Catalogue_BONFIGLIOLI_Moteur.pdf p.114</x:v>
      </x:c>
      <x:c r="J36" s="32" t="str">
        <x:v>Catalogue_BONFIGLIOLI_Moteur.pdf p.108-115 ; interface intégrée</x:v>
      </x:c>
      <x:c r="K36" s="32" t="str"/>
      <x:c r="L36" s="33" t="str"/>
      <x:c r="M36" s="32" t="str"/>
      <x:c r="N36" s="33" t="str"/>
      <x:c r="O36" s="32" t="str"/>
      <x:c r="P36" s="33" t="str"/>
      <x:c r="Q36" s="32" t="str"/>
      <x:c r="R36" s="33" t="str"/>
      <x:c r="S36" s="32" t="str"/>
      <x:c r="T36" s="33" t="str"/>
      <x:c r="U36" s="32" t="str"/>
      <x:c r="V36" s="33" t="str"/>
      <x:c r="W36" s="32" t="str"/>
      <x:c r="X36" s="33" t="str"/>
      <x:c r="Y36" s="32" t="str"/>
      <x:c r="Z36" s="33" t="str"/>
      <x:c r="AA36" s="36" t="str">
        <x:f>TRIM(IF(K36="","A ","")&amp;IF(M36="","B ","")&amp;IF(O36="","C ","")&amp;IF(Q36="","H ","")&amp;IF(S36="","K ","")&amp;IF(U36="","D ","")&amp;IF(W36="","E ","")&amp;IF(Y36="","F",""))</x:f>
        <x:v>A B C H K D E F</x:v>
      </x:c>
      <x:c r="AB36" s="32" t="str"/>
      <x:c r="AC36" s="32" t="str"/>
      <x:c r="AD36" s="32" t="str"/>
      <x:c r="AE36" s="32" t="str"/>
      <x:c r="AF36" s="32" t="str"/>
      <x:c r="AG36" s="32" t="str"/>
      <x:c r="AH36" s="34" t="str"/>
      <x:c r="AI36" s="34" t="str">
        <x:v>Interface constructeur</x:v>
      </x:c>
      <x:c r="AJ36" s="34" t="str"/>
      <x:c r="AK36" s="34" t="str"/>
      <x:c r="AL36" s="34" t="str">
        <x:v>Les cotes IEC autonomes ne s’appliquent pas ; voir la feuille Interfaces intégrées.</x:v>
      </x:c>
      <x:c r="AM36" s="35" t="str">
        <x:v>bonfiglioli:m3lc:j-0p0095-m-23</x:v>
      </x:c>
    </x:row>
    <x:row r="37">
      <x:c r="A37" s="31" t="str">
        <x:v>Non applicable</x:v>
      </x:c>
      <x:c r="B37" s="31" t="str">
        <x:v>M</x:v>
      </x:c>
      <x:c r="C37" s="31" t="str">
        <x:v>M 3SA</x:v>
      </x:c>
      <x:c r="D37" s="31" t="str">
        <x:v>j-0p0024000000000000002-m-15p4</x:v>
      </x:c>
      <x:c r="E37" s="31" t="str">
        <x:v>2</x:v>
      </x:c>
      <x:c r="F37" s="31" t="str">
        <x:v>asynchronous</x:v>
      </x:c>
      <x:c r="G37" s="31"/>
      <x:c r="H37" s="32" t="str"/>
      <x:c r="I37" s="32" t="str">
        <x:v>Catalogue_BONFIGLIOLI_Moteur.pdf p.114</x:v>
      </x:c>
      <x:c r="J37" s="32" t="str">
        <x:v>Catalogue_BONFIGLIOLI_Moteur.pdf p.108-115 ; interface intégrée</x:v>
      </x:c>
      <x:c r="K37" s="32" t="str"/>
      <x:c r="L37" s="33" t="str"/>
      <x:c r="M37" s="32" t="str"/>
      <x:c r="N37" s="33" t="str"/>
      <x:c r="O37" s="32" t="str"/>
      <x:c r="P37" s="33" t="str"/>
      <x:c r="Q37" s="32" t="str"/>
      <x:c r="R37" s="33" t="str"/>
      <x:c r="S37" s="32" t="str"/>
      <x:c r="T37" s="33" t="str"/>
      <x:c r="U37" s="32" t="str"/>
      <x:c r="V37" s="33" t="str"/>
      <x:c r="W37" s="32" t="str"/>
      <x:c r="X37" s="33" t="str"/>
      <x:c r="Y37" s="32" t="str"/>
      <x:c r="Z37" s="33" t="str"/>
      <x:c r="AA37" s="36" t="str">
        <x:f>TRIM(IF(K37="","A ","")&amp;IF(M37="","B ","")&amp;IF(O37="","C ","")&amp;IF(Q37="","H ","")&amp;IF(S37="","K ","")&amp;IF(U37="","D ","")&amp;IF(W37="","E ","")&amp;IF(Y37="","F",""))</x:f>
        <x:v>A B C H K D E F</x:v>
      </x:c>
      <x:c r="AB37" s="32" t="str"/>
      <x:c r="AC37" s="32" t="str"/>
      <x:c r="AD37" s="32" t="str"/>
      <x:c r="AE37" s="32" t="str"/>
      <x:c r="AF37" s="32" t="str"/>
      <x:c r="AG37" s="32" t="str"/>
      <x:c r="AH37" s="34" t="str"/>
      <x:c r="AI37" s="34" t="str">
        <x:v>Interface constructeur</x:v>
      </x:c>
      <x:c r="AJ37" s="34" t="str"/>
      <x:c r="AK37" s="34" t="str"/>
      <x:c r="AL37" s="34" t="str">
        <x:v>Les cotes IEC autonomes ne s’appliquent pas ; voir la feuille Interfaces intégrées.</x:v>
      </x:c>
      <x:c r="AM37" s="35" t="str">
        <x:v>bonfiglioli:m3sa:j-0p0024000000000000002-m-15p4</x:v>
      </x:c>
    </x:row>
    <x:row r="38">
      <x:c r="A38" s="31" t="str">
        <x:v>Non applicable</x:v>
      </x:c>
      <x:c r="B38" s="31" t="str">
        <x:v>M</x:v>
      </x:c>
      <x:c r="C38" s="31" t="str">
        <x:v>M 3SA</x:v>
      </x:c>
      <x:c r="D38" s="31" t="str">
        <x:v>j-0p0024000000000000002-m-15p5</x:v>
      </x:c>
      <x:c r="E38" s="31" t="str">
        <x:v>2</x:v>
      </x:c>
      <x:c r="F38" s="31" t="str">
        <x:v>asynchronous</x:v>
      </x:c>
      <x:c r="G38" s="31"/>
      <x:c r="H38" s="32" t="str"/>
      <x:c r="I38" s="32" t="str">
        <x:v>Catalogue_BONFIGLIOLI_Moteur.pdf p.114</x:v>
      </x:c>
      <x:c r="J38" s="32" t="str">
        <x:v>Catalogue_BONFIGLIOLI_Moteur.pdf p.108-115 ; interface intégrée</x:v>
      </x:c>
      <x:c r="K38" s="32" t="str"/>
      <x:c r="L38" s="33" t="str"/>
      <x:c r="M38" s="32" t="str"/>
      <x:c r="N38" s="33" t="str"/>
      <x:c r="O38" s="32" t="str"/>
      <x:c r="P38" s="33" t="str"/>
      <x:c r="Q38" s="32" t="str"/>
      <x:c r="R38" s="33" t="str"/>
      <x:c r="S38" s="32" t="str"/>
      <x:c r="T38" s="33" t="str"/>
      <x:c r="U38" s="32" t="str"/>
      <x:c r="V38" s="33" t="str"/>
      <x:c r="W38" s="32" t="str"/>
      <x:c r="X38" s="33" t="str"/>
      <x:c r="Y38" s="32" t="str"/>
      <x:c r="Z38" s="33" t="str"/>
      <x:c r="AA38" s="36" t="str">
        <x:f>TRIM(IF(K38="","A ","")&amp;IF(M38="","B ","")&amp;IF(O38="","C ","")&amp;IF(Q38="","H ","")&amp;IF(S38="","K ","")&amp;IF(U38="","D ","")&amp;IF(W38="","E ","")&amp;IF(Y38="","F",""))</x:f>
        <x:v>A B C H K D E F</x:v>
      </x:c>
      <x:c r="AB38" s="32" t="str"/>
      <x:c r="AC38" s="32" t="str"/>
      <x:c r="AD38" s="32" t="str"/>
      <x:c r="AE38" s="32" t="str"/>
      <x:c r="AF38" s="32" t="str"/>
      <x:c r="AG38" s="32" t="str"/>
      <x:c r="AH38" s="34" t="str"/>
      <x:c r="AI38" s="34" t="str">
        <x:v>Interface constructeur</x:v>
      </x:c>
      <x:c r="AJ38" s="34" t="str"/>
      <x:c r="AK38" s="34" t="str"/>
      <x:c r="AL38" s="34" t="str">
        <x:v>Les cotes IEC autonomes ne s’appliquent pas ; voir la feuille Interfaces intégrées.</x:v>
      </x:c>
      <x:c r="AM38" s="35" t="str">
        <x:v>bonfiglioli:m3sa:j-0p0024000000000000002-m-15p5</x:v>
      </x:c>
    </x:row>
    <x:row r="39">
      <x:c r="A39" s="31" t="str">
        <x:v>Non applicable</x:v>
      </x:c>
      <x:c r="B39" s="31" t="str">
        <x:v>M</x:v>
      </x:c>
      <x:c r="C39" s="31" t="str">
        <x:v>M 3SA</x:v>
      </x:c>
      <x:c r="D39" s="31" t="str">
        <x:v>j-0p0034000000000000002-m-15p4</x:v>
      </x:c>
      <x:c r="E39" s="31" t="str">
        <x:v>4</x:v>
      </x:c>
      <x:c r="F39" s="31" t="str">
        <x:v>asynchronous</x:v>
      </x:c>
      <x:c r="G39" s="31"/>
      <x:c r="H39" s="32" t="str"/>
      <x:c r="I39" s="32" t="str">
        <x:v>Catalogue_BONFIGLIOLI_Moteur.pdf p.114</x:v>
      </x:c>
      <x:c r="J39" s="32" t="str">
        <x:v>Catalogue_BONFIGLIOLI_Moteur.pdf p.108-115 ; interface intégrée</x:v>
      </x:c>
      <x:c r="K39" s="32" t="str"/>
      <x:c r="L39" s="33" t="str"/>
      <x:c r="M39" s="32" t="str"/>
      <x:c r="N39" s="33" t="str"/>
      <x:c r="O39" s="32" t="str"/>
      <x:c r="P39" s="33" t="str"/>
      <x:c r="Q39" s="32" t="str"/>
      <x:c r="R39" s="33" t="str"/>
      <x:c r="S39" s="32" t="str"/>
      <x:c r="T39" s="33" t="str"/>
      <x:c r="U39" s="32" t="str"/>
      <x:c r="V39" s="33" t="str"/>
      <x:c r="W39" s="32" t="str"/>
      <x:c r="X39" s="33" t="str"/>
      <x:c r="Y39" s="32" t="str"/>
      <x:c r="Z39" s="33" t="str"/>
      <x:c r="AA39" s="36" t="str">
        <x:f>TRIM(IF(K39="","A ","")&amp;IF(M39="","B ","")&amp;IF(O39="","C ","")&amp;IF(Q39="","H ","")&amp;IF(S39="","K ","")&amp;IF(U39="","D ","")&amp;IF(W39="","E ","")&amp;IF(Y39="","F",""))</x:f>
        <x:v>A B C H K D E F</x:v>
      </x:c>
      <x:c r="AB39" s="32" t="str"/>
      <x:c r="AC39" s="32" t="str"/>
      <x:c r="AD39" s="32" t="str"/>
      <x:c r="AE39" s="32" t="str"/>
      <x:c r="AF39" s="32" t="str"/>
      <x:c r="AG39" s="32" t="str"/>
      <x:c r="AH39" s="34" t="str"/>
      <x:c r="AI39" s="34" t="str">
        <x:v>Interface constructeur</x:v>
      </x:c>
      <x:c r="AJ39" s="34" t="str"/>
      <x:c r="AK39" s="34" t="str"/>
      <x:c r="AL39" s="34" t="str">
        <x:v>Les cotes IEC autonomes ne s’appliquent pas ; voir la feuille Interfaces intégrées.</x:v>
      </x:c>
      <x:c r="AM39" s="35" t="str">
        <x:v>bonfiglioli:m3sa:j-0p0034000000000000002-m-15p4</x:v>
      </x:c>
    </x:row>
    <x:row r="40">
      <x:c r="A40" s="31" t="str">
        <x:v>Non applicable</x:v>
      </x:c>
      <x:c r="B40" s="31" t="str">
        <x:v>M</x:v>
      </x:c>
      <x:c r="C40" s="31" t="str">
        <x:v>M 3SA</x:v>
      </x:c>
      <x:c r="D40" s="31" t="str">
        <x:v>j-0p0034000000000000002-m-15p5</x:v>
      </x:c>
      <x:c r="E40" s="31" t="str">
        <x:v>4</x:v>
      </x:c>
      <x:c r="F40" s="31" t="str">
        <x:v>asynchronous</x:v>
      </x:c>
      <x:c r="G40" s="31"/>
      <x:c r="H40" s="32" t="str"/>
      <x:c r="I40" s="32" t="str">
        <x:v>Catalogue_BONFIGLIOLI_Moteur.pdf p.114</x:v>
      </x:c>
      <x:c r="J40" s="32" t="str">
        <x:v>Catalogue_BONFIGLIOLI_Moteur.pdf p.108-115 ; interface intégrée</x:v>
      </x:c>
      <x:c r="K40" s="32" t="str"/>
      <x:c r="L40" s="33" t="str"/>
      <x:c r="M40" s="32" t="str"/>
      <x:c r="N40" s="33" t="str"/>
      <x:c r="O40" s="32" t="str"/>
      <x:c r="P40" s="33" t="str"/>
      <x:c r="Q40" s="32" t="str"/>
      <x:c r="R40" s="33" t="str"/>
      <x:c r="S40" s="32" t="str"/>
      <x:c r="T40" s="33" t="str"/>
      <x:c r="U40" s="32" t="str"/>
      <x:c r="V40" s="33" t="str"/>
      <x:c r="W40" s="32" t="str"/>
      <x:c r="X40" s="33" t="str"/>
      <x:c r="Y40" s="32" t="str"/>
      <x:c r="Z40" s="33" t="str"/>
      <x:c r="AA40" s="36" t="str">
        <x:f>TRIM(IF(K40="","A ","")&amp;IF(M40="","B ","")&amp;IF(O40="","C ","")&amp;IF(Q40="","H ","")&amp;IF(S40="","K ","")&amp;IF(U40="","D ","")&amp;IF(W40="","E ","")&amp;IF(Y40="","F",""))</x:f>
        <x:v>A B C H K D E F</x:v>
      </x:c>
      <x:c r="AB40" s="32" t="str"/>
      <x:c r="AC40" s="32" t="str"/>
      <x:c r="AD40" s="32" t="str"/>
      <x:c r="AE40" s="32" t="str"/>
      <x:c r="AF40" s="32" t="str"/>
      <x:c r="AG40" s="32" t="str"/>
      <x:c r="AH40" s="34" t="str"/>
      <x:c r="AI40" s="34" t="str">
        <x:v>Interface constructeur</x:v>
      </x:c>
      <x:c r="AJ40" s="34" t="str"/>
      <x:c r="AK40" s="34" t="str"/>
      <x:c r="AL40" s="34" t="str">
        <x:v>Les cotes IEC autonomes ne s’appliquent pas ; voir la feuille Interfaces intégrées.</x:v>
      </x:c>
      <x:c r="AM40" s="35" t="str">
        <x:v>bonfiglioli:m3sa:j-0p0034000000000000002-m-15p5</x:v>
      </x:c>
    </x:row>
    <x:row r="41">
      <x:c r="A41" s="31" t="str">
        <x:v>Non applicable</x:v>
      </x:c>
      <x:c r="B41" s="31" t="str">
        <x:v>M</x:v>
      </x:c>
      <x:c r="C41" s="31" t="str">
        <x:v>M 3SA</x:v>
      </x:c>
      <x:c r="D41" s="31" t="str">
        <x:v>j-0p006200000000000001-m-17</x:v>
      </x:c>
      <x:c r="E41" s="31" t="str">
        <x:v>6</x:v>
      </x:c>
      <x:c r="F41" s="31" t="str">
        <x:v>asynchronous</x:v>
      </x:c>
      <x:c r="G41" s="31"/>
      <x:c r="H41" s="32" t="str"/>
      <x:c r="I41" s="32" t="str">
        <x:v>Catalogue_BONFIGLIOLI_Moteur.pdf p.114</x:v>
      </x:c>
      <x:c r="J41" s="32" t="str">
        <x:v>Catalogue_BONFIGLIOLI_Moteur.pdf p.108-115 ; interface intégrée</x:v>
      </x:c>
      <x:c r="K41" s="32" t="str"/>
      <x:c r="L41" s="33" t="str"/>
      <x:c r="M41" s="32" t="str"/>
      <x:c r="N41" s="33" t="str"/>
      <x:c r="O41" s="32" t="str"/>
      <x:c r="P41" s="33" t="str"/>
      <x:c r="Q41" s="32" t="str"/>
      <x:c r="R41" s="33" t="str"/>
      <x:c r="S41" s="32" t="str"/>
      <x:c r="T41" s="33" t="str"/>
      <x:c r="U41" s="32" t="str"/>
      <x:c r="V41" s="33" t="str"/>
      <x:c r="W41" s="32" t="str"/>
      <x:c r="X41" s="33" t="str"/>
      <x:c r="Y41" s="32" t="str"/>
      <x:c r="Z41" s="33" t="str"/>
      <x:c r="AA41" s="36" t="str">
        <x:f>TRIM(IF(K41="","A ","")&amp;IF(M41="","B ","")&amp;IF(O41="","C ","")&amp;IF(Q41="","H ","")&amp;IF(S41="","K ","")&amp;IF(U41="","D ","")&amp;IF(W41="","E ","")&amp;IF(Y41="","F",""))</x:f>
        <x:v>A B C H K D E F</x:v>
      </x:c>
      <x:c r="AB41" s="32" t="str"/>
      <x:c r="AC41" s="32" t="str"/>
      <x:c r="AD41" s="32" t="str"/>
      <x:c r="AE41" s="32" t="str"/>
      <x:c r="AF41" s="32" t="str"/>
      <x:c r="AG41" s="32" t="str"/>
      <x:c r="AH41" s="34" t="str"/>
      <x:c r="AI41" s="34" t="str">
        <x:v>Interface constructeur</x:v>
      </x:c>
      <x:c r="AJ41" s="34" t="str"/>
      <x:c r="AK41" s="34" t="str"/>
      <x:c r="AL41" s="34" t="str">
        <x:v>Les cotes IEC autonomes ne s’appliquent pas ; voir la feuille Interfaces intégrées.</x:v>
      </x:c>
      <x:c r="AM41" s="35" t="str">
        <x:v>bonfiglioli:m3sa:j-0p006200000000000001-m-17</x:v>
      </x:c>
    </x:row>
    <x:row r="42">
      <x:c r="A42" s="31" t="str">
        <x:v>Non applicable</x:v>
      </x:c>
      <x:c r="B42" s="31" t="str">
        <x:v>M</x:v>
      </x:c>
      <x:c r="C42" s="31" t="str">
        <x:v>M 4LA</x:v>
      </x:c>
      <x:c r="D42" s="31" t="str">
        <x:v>j-0p0178-m-51</x:v>
      </x:c>
      <x:c r="E42" s="31" t="str">
        <x:v>2</x:v>
      </x:c>
      <x:c r="F42" s="31" t="str">
        <x:v>asynchronous</x:v>
      </x:c>
      <x:c r="G42" s="31"/>
      <x:c r="H42" s="32" t="str"/>
      <x:c r="I42" s="32" t="str">
        <x:v>Catalogue_BONFIGLIOLI_Moteur.pdf p.114</x:v>
      </x:c>
      <x:c r="J42" s="32" t="str">
        <x:v>Catalogue_BONFIGLIOLI_Moteur.pdf p.108-115 ; interface intégrée</x:v>
      </x:c>
      <x:c r="K42" s="32" t="str"/>
      <x:c r="L42" s="33" t="str"/>
      <x:c r="M42" s="32" t="str"/>
      <x:c r="N42" s="33" t="str"/>
      <x:c r="O42" s="32" t="str"/>
      <x:c r="P42" s="33" t="str"/>
      <x:c r="Q42" s="32" t="str"/>
      <x:c r="R42" s="33" t="str"/>
      <x:c r="S42" s="32" t="str"/>
      <x:c r="T42" s="33" t="str"/>
      <x:c r="U42" s="32" t="str"/>
      <x:c r="V42" s="33" t="str"/>
      <x:c r="W42" s="32" t="str"/>
      <x:c r="X42" s="33" t="str"/>
      <x:c r="Y42" s="32" t="str"/>
      <x:c r="Z42" s="33" t="str"/>
      <x:c r="AA42" s="36" t="str">
        <x:f>TRIM(IF(K42="","A ","")&amp;IF(M42="","B ","")&amp;IF(O42="","C ","")&amp;IF(Q42="","H ","")&amp;IF(S42="","K ","")&amp;IF(U42="","D ","")&amp;IF(W42="","E ","")&amp;IF(Y42="","F",""))</x:f>
        <x:v>A B C H K D E F</x:v>
      </x:c>
      <x:c r="AB42" s="32" t="str"/>
      <x:c r="AC42" s="32" t="str"/>
      <x:c r="AD42" s="32" t="str"/>
      <x:c r="AE42" s="32" t="str"/>
      <x:c r="AF42" s="32" t="str"/>
      <x:c r="AG42" s="32" t="str"/>
      <x:c r="AH42" s="34" t="str"/>
      <x:c r="AI42" s="34" t="str">
        <x:v>Interface constructeur</x:v>
      </x:c>
      <x:c r="AJ42" s="34" t="str"/>
      <x:c r="AK42" s="34" t="str"/>
      <x:c r="AL42" s="34" t="str">
        <x:v>Les cotes IEC autonomes ne s’appliquent pas ; voir la feuille Interfaces intégrées.</x:v>
      </x:c>
      <x:c r="AM42" s="35" t="str">
        <x:v>bonfiglioli:m4la:j-0p0178-m-51</x:v>
      </x:c>
    </x:row>
    <x:row r="43">
      <x:c r="A43" s="31" t="str">
        <x:v>Non applicable</x:v>
      </x:c>
      <x:c r="B43" s="31" t="str">
        <x:v>M</x:v>
      </x:c>
      <x:c r="C43" s="31" t="str">
        <x:v>M 4LA</x:v>
      </x:c>
      <x:c r="D43" s="31" t="str">
        <x:v>j-0p027-m-51</x:v>
      </x:c>
      <x:c r="E43" s="31" t="str">
        <x:v>4</x:v>
      </x:c>
      <x:c r="F43" s="31" t="str">
        <x:v>asynchronous</x:v>
      </x:c>
      <x:c r="G43" s="31"/>
      <x:c r="H43" s="32" t="str"/>
      <x:c r="I43" s="32" t="str">
        <x:v>Catalogue_BONFIGLIOLI_Moteur.pdf p.114</x:v>
      </x:c>
      <x:c r="J43" s="32" t="str">
        <x:v>Catalogue_BONFIGLIOLI_Moteur.pdf p.108-115 ; interface intégrée</x:v>
      </x:c>
      <x:c r="K43" s="32" t="str"/>
      <x:c r="L43" s="33" t="str"/>
      <x:c r="M43" s="32" t="str"/>
      <x:c r="N43" s="33" t="str"/>
      <x:c r="O43" s="32" t="str"/>
      <x:c r="P43" s="33" t="str"/>
      <x:c r="Q43" s="32" t="str"/>
      <x:c r="R43" s="33" t="str"/>
      <x:c r="S43" s="32" t="str"/>
      <x:c r="T43" s="33" t="str"/>
      <x:c r="U43" s="32" t="str"/>
      <x:c r="V43" s="33" t="str"/>
      <x:c r="W43" s="32" t="str"/>
      <x:c r="X43" s="33" t="str"/>
      <x:c r="Y43" s="32" t="str"/>
      <x:c r="Z43" s="33" t="str"/>
      <x:c r="AA43" s="36" t="str">
        <x:f>TRIM(IF(K43="","A ","")&amp;IF(M43="","B ","")&amp;IF(O43="","C ","")&amp;IF(Q43="","H ","")&amp;IF(S43="","K ","")&amp;IF(U43="","D ","")&amp;IF(W43="","E ","")&amp;IF(Y43="","F",""))</x:f>
        <x:v>A B C H K D E F</x:v>
      </x:c>
      <x:c r="AB43" s="32" t="str"/>
      <x:c r="AC43" s="32" t="str"/>
      <x:c r="AD43" s="32" t="str"/>
      <x:c r="AE43" s="32" t="str"/>
      <x:c r="AF43" s="32" t="str"/>
      <x:c r="AG43" s="32" t="str"/>
      <x:c r="AH43" s="34" t="str"/>
      <x:c r="AI43" s="34" t="str">
        <x:v>Interface constructeur</x:v>
      </x:c>
      <x:c r="AJ43" s="34" t="str"/>
      <x:c r="AK43" s="34" t="str"/>
      <x:c r="AL43" s="34" t="str">
        <x:v>Les cotes IEC autonomes ne s’appliquent pas ; voir la feuille Interfaces intégrées.</x:v>
      </x:c>
      <x:c r="AM43" s="35" t="str">
        <x:v>bonfiglioli:m4la:j-0p027-m-51</x:v>
      </x:c>
    </x:row>
    <x:row r="44">
      <x:c r="A44" s="31" t="str">
        <x:v>Non applicable</x:v>
      </x:c>
      <x:c r="B44" s="31" t="str">
        <x:v>M</x:v>
      </x:c>
      <x:c r="C44" s="31" t="str">
        <x:v>M 4LA</x:v>
      </x:c>
      <x:c r="D44" s="31" t="str">
        <x:v>j-0p029500000000000002-m-43</x:v>
      </x:c>
      <x:c r="E44" s="31" t="str">
        <x:v>6</x:v>
      </x:c>
      <x:c r="F44" s="31" t="str">
        <x:v>asynchronous</x:v>
      </x:c>
      <x:c r="G44" s="31"/>
      <x:c r="H44" s="32" t="str"/>
      <x:c r="I44" s="32" t="str">
        <x:v>Catalogue_BONFIGLIOLI_Moteur.pdf p.114</x:v>
      </x:c>
      <x:c r="J44" s="32" t="str">
        <x:v>Catalogue_BONFIGLIOLI_Moteur.pdf p.108-115 ; interface intégrée</x:v>
      </x:c>
      <x:c r="K44" s="32" t="str"/>
      <x:c r="L44" s="33" t="str"/>
      <x:c r="M44" s="32" t="str"/>
      <x:c r="N44" s="33" t="str"/>
      <x:c r="O44" s="32" t="str"/>
      <x:c r="P44" s="33" t="str"/>
      <x:c r="Q44" s="32" t="str"/>
      <x:c r="R44" s="33" t="str"/>
      <x:c r="S44" s="32" t="str"/>
      <x:c r="T44" s="33" t="str"/>
      <x:c r="U44" s="32" t="str"/>
      <x:c r="V44" s="33" t="str"/>
      <x:c r="W44" s="32" t="str"/>
      <x:c r="X44" s="33" t="str"/>
      <x:c r="Y44" s="32" t="str"/>
      <x:c r="Z44" s="33" t="str"/>
      <x:c r="AA44" s="36" t="str">
        <x:f>TRIM(IF(K44="","A ","")&amp;IF(M44="","B ","")&amp;IF(O44="","C ","")&amp;IF(Q44="","H ","")&amp;IF(S44="","K ","")&amp;IF(U44="","D ","")&amp;IF(W44="","E ","")&amp;IF(Y44="","F",""))</x:f>
        <x:v>A B C H K D E F</x:v>
      </x:c>
      <x:c r="AB44" s="32" t="str"/>
      <x:c r="AC44" s="32" t="str"/>
      <x:c r="AD44" s="32" t="str"/>
      <x:c r="AE44" s="32" t="str"/>
      <x:c r="AF44" s="32" t="str"/>
      <x:c r="AG44" s="32" t="str"/>
      <x:c r="AH44" s="34" t="str"/>
      <x:c r="AI44" s="34" t="str">
        <x:v>Interface constructeur</x:v>
      </x:c>
      <x:c r="AJ44" s="34" t="str"/>
      <x:c r="AK44" s="34" t="str"/>
      <x:c r="AL44" s="34" t="str">
        <x:v>Les cotes IEC autonomes ne s’appliquent pas ; voir la feuille Interfaces intégrées.</x:v>
      </x:c>
      <x:c r="AM44" s="35" t="str">
        <x:v>bonfiglioli:m4la:j-0p029500000000000002-m-43</x:v>
      </x:c>
    </x:row>
    <x:row r="45">
      <x:c r="A45" s="31" t="str">
        <x:v>Non applicable</x:v>
      </x:c>
      <x:c r="B45" s="31" t="str">
        <x:v>M</x:v>
      </x:c>
      <x:c r="C45" s="31" t="str">
        <x:v>M 4LB</x:v>
      </x:c>
      <x:c r="D45" s="31" t="str">
        <x:v>j-0p031900000000000005-m-57</x:v>
      </x:c>
      <x:c r="E45" s="31" t="str">
        <x:v>4</x:v>
      </x:c>
      <x:c r="F45" s="31" t="str">
        <x:v>asynchronous</x:v>
      </x:c>
      <x:c r="G45" s="31"/>
      <x:c r="H45" s="32" t="str"/>
      <x:c r="I45" s="32" t="str">
        <x:v>Catalogue_BONFIGLIOLI_Moteur.pdf p.114</x:v>
      </x:c>
      <x:c r="J45" s="32" t="str">
        <x:v>Catalogue_BONFIGLIOLI_Moteur.pdf p.108-115 ; interface intégrée</x:v>
      </x:c>
      <x:c r="K45" s="32" t="str"/>
      <x:c r="L45" s="33" t="str"/>
      <x:c r="M45" s="32" t="str"/>
      <x:c r="N45" s="33" t="str"/>
      <x:c r="O45" s="32" t="str"/>
      <x:c r="P45" s="33" t="str"/>
      <x:c r="Q45" s="32" t="str"/>
      <x:c r="R45" s="33" t="str"/>
      <x:c r="S45" s="32" t="str"/>
      <x:c r="T45" s="33" t="str"/>
      <x:c r="U45" s="32" t="str"/>
      <x:c r="V45" s="33" t="str"/>
      <x:c r="W45" s="32" t="str"/>
      <x:c r="X45" s="33" t="str"/>
      <x:c r="Y45" s="32" t="str"/>
      <x:c r="Z45" s="33" t="str"/>
      <x:c r="AA45" s="36" t="str">
        <x:f>TRIM(IF(K45="","A ","")&amp;IF(M45="","B ","")&amp;IF(O45="","C ","")&amp;IF(Q45="","H ","")&amp;IF(S45="","K ","")&amp;IF(U45="","D ","")&amp;IF(W45="","E ","")&amp;IF(Y45="","F",""))</x:f>
        <x:v>A B C H K D E F</x:v>
      </x:c>
      <x:c r="AB45" s="32" t="str"/>
      <x:c r="AC45" s="32" t="str"/>
      <x:c r="AD45" s="32" t="str"/>
      <x:c r="AE45" s="32" t="str"/>
      <x:c r="AF45" s="32" t="str"/>
      <x:c r="AG45" s="32" t="str"/>
      <x:c r="AH45" s="34" t="str"/>
      <x:c r="AI45" s="34" t="str">
        <x:v>Interface constructeur</x:v>
      </x:c>
      <x:c r="AJ45" s="34" t="str"/>
      <x:c r="AK45" s="34" t="str"/>
      <x:c r="AL45" s="34" t="str">
        <x:v>Les cotes IEC autonomes ne s’appliquent pas ; voir la feuille Interfaces intégrées.</x:v>
      </x:c>
      <x:c r="AM45" s="35" t="str">
        <x:v>bonfiglioli:m4lb:j-0p031900000000000005-m-57</x:v>
      </x:c>
    </x:row>
    <x:row r="46">
      <x:c r="A46" s="31" t="str">
        <x:v>Non applicable</x:v>
      </x:c>
      <x:c r="B46" s="31" t="str">
        <x:v>M</x:v>
      </x:c>
      <x:c r="C46" s="31" t="str">
        <x:v>M 4LB</x:v>
      </x:c>
      <x:c r="D46" s="31" t="str">
        <x:v>j-0p0383-m-54</x:v>
      </x:c>
      <x:c r="E46" s="31" t="str">
        <x:v>6</x:v>
      </x:c>
      <x:c r="F46" s="31" t="str">
        <x:v>asynchronous</x:v>
      </x:c>
      <x:c r="G46" s="31"/>
      <x:c r="H46" s="32" t="str"/>
      <x:c r="I46" s="32" t="str">
        <x:v>Catalogue_BONFIGLIOLI_Moteur.pdf p.114</x:v>
      </x:c>
      <x:c r="J46" s="32" t="str">
        <x:v>Catalogue_BONFIGLIOLI_Moteur.pdf p.108-115 ; interface intégrée</x:v>
      </x:c>
      <x:c r="K46" s="32" t="str"/>
      <x:c r="L46" s="33" t="str"/>
      <x:c r="M46" s="32" t="str"/>
      <x:c r="N46" s="33" t="str"/>
      <x:c r="O46" s="32" t="str"/>
      <x:c r="P46" s="33" t="str"/>
      <x:c r="Q46" s="32" t="str"/>
      <x:c r="R46" s="33" t="str"/>
      <x:c r="S46" s="32" t="str"/>
      <x:c r="T46" s="33" t="str"/>
      <x:c r="U46" s="32" t="str"/>
      <x:c r="V46" s="33" t="str"/>
      <x:c r="W46" s="32" t="str"/>
      <x:c r="X46" s="33" t="str"/>
      <x:c r="Y46" s="32" t="str"/>
      <x:c r="Z46" s="33" t="str"/>
      <x:c r="AA46" s="36" t="str">
        <x:f>TRIM(IF(K46="","A ","")&amp;IF(M46="","B ","")&amp;IF(O46="","C ","")&amp;IF(Q46="","H ","")&amp;IF(S46="","K ","")&amp;IF(U46="","D ","")&amp;IF(W46="","E ","")&amp;IF(Y46="","F",""))</x:f>
        <x:v>A B C H K D E F</x:v>
      </x:c>
      <x:c r="AB46" s="32" t="str"/>
      <x:c r="AC46" s="32" t="str"/>
      <x:c r="AD46" s="32" t="str"/>
      <x:c r="AE46" s="32" t="str"/>
      <x:c r="AF46" s="32" t="str"/>
      <x:c r="AG46" s="32" t="str"/>
      <x:c r="AH46" s="34" t="str"/>
      <x:c r="AI46" s="34" t="str">
        <x:v>Interface constructeur</x:v>
      </x:c>
      <x:c r="AJ46" s="34" t="str"/>
      <x:c r="AK46" s="34" t="str"/>
      <x:c r="AL46" s="34" t="str">
        <x:v>Les cotes IEC autonomes ne s’appliquent pas ; voir la feuille Interfaces intégrées.</x:v>
      </x:c>
      <x:c r="AM46" s="35" t="str">
        <x:v>bonfiglioli:m4lb:j-0p0383-m-54</x:v>
      </x:c>
    </x:row>
    <x:row r="47">
      <x:c r="A47" s="31" t="str">
        <x:v>Non applicable</x:v>
      </x:c>
      <x:c r="B47" s="31" t="str">
        <x:v>M</x:v>
      </x:c>
      <x:c r="C47" s="31" t="str">
        <x:v>M 4LC</x:v>
      </x:c>
      <x:c r="D47" s="31" t="str">
        <x:v>j-0p021-m-60</x:v>
      </x:c>
      <x:c r="E47" s="31" t="str">
        <x:v>2</x:v>
      </x:c>
      <x:c r="F47" s="31" t="str">
        <x:v>asynchronous</x:v>
      </x:c>
      <x:c r="G47" s="31"/>
      <x:c r="H47" s="32" t="str"/>
      <x:c r="I47" s="32" t="str">
        <x:v>Catalogue_BONFIGLIOLI_Moteur.pdf p.114</x:v>
      </x:c>
      <x:c r="J47" s="32" t="str">
        <x:v>Catalogue_BONFIGLIOLI_Moteur.pdf p.108-115 ; interface intégrée</x:v>
      </x:c>
      <x:c r="K47" s="32" t="str"/>
      <x:c r="L47" s="33" t="str"/>
      <x:c r="M47" s="32" t="str"/>
      <x:c r="N47" s="33" t="str"/>
      <x:c r="O47" s="32" t="str"/>
      <x:c r="P47" s="33" t="str"/>
      <x:c r="Q47" s="32" t="str"/>
      <x:c r="R47" s="33" t="str"/>
      <x:c r="S47" s="32" t="str"/>
      <x:c r="T47" s="33" t="str"/>
      <x:c r="U47" s="32" t="str"/>
      <x:c r="V47" s="33" t="str"/>
      <x:c r="W47" s="32" t="str"/>
      <x:c r="X47" s="33" t="str"/>
      <x:c r="Y47" s="32" t="str"/>
      <x:c r="Z47" s="33" t="str"/>
      <x:c r="AA47" s="36" t="str">
        <x:f>TRIM(IF(K47="","A ","")&amp;IF(M47="","B ","")&amp;IF(O47="","C ","")&amp;IF(Q47="","H ","")&amp;IF(S47="","K ","")&amp;IF(U47="","D ","")&amp;IF(W47="","E ","")&amp;IF(Y47="","F",""))</x:f>
        <x:v>A B C H K D E F</x:v>
      </x:c>
      <x:c r="AB47" s="32" t="str"/>
      <x:c r="AC47" s="32" t="str"/>
      <x:c r="AD47" s="32" t="str"/>
      <x:c r="AE47" s="32" t="str"/>
      <x:c r="AF47" s="32" t="str"/>
      <x:c r="AG47" s="32" t="str"/>
      <x:c r="AH47" s="34" t="str"/>
      <x:c r="AI47" s="34" t="str">
        <x:v>Interface constructeur</x:v>
      </x:c>
      <x:c r="AJ47" s="34" t="str"/>
      <x:c r="AK47" s="34" t="str"/>
      <x:c r="AL47" s="34" t="str">
        <x:v>Les cotes IEC autonomes ne s’appliquent pas ; voir la feuille Interfaces intégrées.</x:v>
      </x:c>
      <x:c r="AM47" s="35" t="str">
        <x:v>bonfiglioli:m4lc:j-0p021-m-60</x:v>
      </x:c>
    </x:row>
    <x:row r="48">
      <x:c r="A48" s="31" t="str">
        <x:v>Non applicable</x:v>
      </x:c>
      <x:c r="B48" s="31" t="str">
        <x:v>M</x:v>
      </x:c>
      <x:c r="C48" s="31" t="str">
        <x:v>M 4LC</x:v>
      </x:c>
      <x:c r="D48" s="31" t="str">
        <x:v>j-0p036000000000000004-m-65</x:v>
      </x:c>
      <x:c r="E48" s="31" t="str">
        <x:v>4</x:v>
      </x:c>
      <x:c r="F48" s="31" t="str">
        <x:v>asynchronous</x:v>
      </x:c>
      <x:c r="G48" s="31"/>
      <x:c r="H48" s="32" t="str"/>
      <x:c r="I48" s="32" t="str">
        <x:v>Catalogue_BONFIGLIOLI_Moteur.pdf p.114</x:v>
      </x:c>
      <x:c r="J48" s="32" t="str">
        <x:v>Catalogue_BONFIGLIOLI_Moteur.pdf p.108-115 ; interface intégrée</x:v>
      </x:c>
      <x:c r="K48" s="32" t="str"/>
      <x:c r="L48" s="33" t="str"/>
      <x:c r="M48" s="32" t="str"/>
      <x:c r="N48" s="33" t="str"/>
      <x:c r="O48" s="32" t="str"/>
      <x:c r="P48" s="33" t="str"/>
      <x:c r="Q48" s="32" t="str"/>
      <x:c r="R48" s="33" t="str"/>
      <x:c r="S48" s="32" t="str"/>
      <x:c r="T48" s="33" t="str"/>
      <x:c r="U48" s="32" t="str"/>
      <x:c r="V48" s="33" t="str"/>
      <x:c r="W48" s="32" t="str"/>
      <x:c r="X48" s="33" t="str"/>
      <x:c r="Y48" s="32" t="str"/>
      <x:c r="Z48" s="33" t="str"/>
      <x:c r="AA48" s="36" t="str">
        <x:f>TRIM(IF(K48="","A ","")&amp;IF(M48="","B ","")&amp;IF(O48="","C ","")&amp;IF(Q48="","H ","")&amp;IF(S48="","K ","")&amp;IF(U48="","D ","")&amp;IF(W48="","E ","")&amp;IF(Y48="","F",""))</x:f>
        <x:v>A B C H K D E F</x:v>
      </x:c>
      <x:c r="AB48" s="32" t="str"/>
      <x:c r="AC48" s="32" t="str"/>
      <x:c r="AD48" s="32" t="str"/>
      <x:c r="AE48" s="32" t="str"/>
      <x:c r="AF48" s="32" t="str"/>
      <x:c r="AG48" s="32" t="str"/>
      <x:c r="AH48" s="34" t="str"/>
      <x:c r="AI48" s="34" t="str">
        <x:v>Interface constructeur</x:v>
      </x:c>
      <x:c r="AJ48" s="34" t="str"/>
      <x:c r="AK48" s="34" t="str"/>
      <x:c r="AL48" s="34" t="str">
        <x:v>Les cotes IEC autonomes ne s’appliquent pas ; voir la feuille Interfaces intégrées.</x:v>
      </x:c>
      <x:c r="AM48" s="35" t="str">
        <x:v>bonfiglioli:m4lc:j-0p036000000000000004-m-65</x:v>
      </x:c>
    </x:row>
    <x:row r="49">
      <x:c r="A49" s="31" t="str">
        <x:v>Non applicable</x:v>
      </x:c>
      <x:c r="B49" s="31" t="str">
        <x:v>M</x:v>
      </x:c>
      <x:c r="C49" s="31" t="str">
        <x:v>M 4SA</x:v>
      </x:c>
      <x:c r="D49" s="31" t="str">
        <x:v>j-0p010100000000000001-m-33</x:v>
      </x:c>
      <x:c r="E49" s="31" t="str">
        <x:v>2</x:v>
      </x:c>
      <x:c r="F49" s="31" t="str">
        <x:v>asynchronous</x:v>
      </x:c>
      <x:c r="G49" s="31"/>
      <x:c r="H49" s="32" t="str"/>
      <x:c r="I49" s="32" t="str">
        <x:v>Catalogue_BONFIGLIOLI_Moteur.pdf p.114</x:v>
      </x:c>
      <x:c r="J49" s="32" t="str">
        <x:v>Catalogue_BONFIGLIOLI_Moteur.pdf p.108-115 ; interface intégrée</x:v>
      </x:c>
      <x:c r="K49" s="32" t="str"/>
      <x:c r="L49" s="33" t="str"/>
      <x:c r="M49" s="32" t="str"/>
      <x:c r="N49" s="33" t="str"/>
      <x:c r="O49" s="32" t="str"/>
      <x:c r="P49" s="33" t="str"/>
      <x:c r="Q49" s="32" t="str"/>
      <x:c r="R49" s="33" t="str"/>
      <x:c r="S49" s="32" t="str"/>
      <x:c r="T49" s="33" t="str"/>
      <x:c r="U49" s="32" t="str"/>
      <x:c r="V49" s="33" t="str"/>
      <x:c r="W49" s="32" t="str"/>
      <x:c r="X49" s="33" t="str"/>
      <x:c r="Y49" s="32" t="str"/>
      <x:c r="Z49" s="33" t="str"/>
      <x:c r="AA49" s="36" t="str">
        <x:f>TRIM(IF(K49="","A ","")&amp;IF(M49="","B ","")&amp;IF(O49="","C ","")&amp;IF(Q49="","H ","")&amp;IF(S49="","K ","")&amp;IF(U49="","D ","")&amp;IF(W49="","E ","")&amp;IF(Y49="","F",""))</x:f>
        <x:v>A B C H K D E F</x:v>
      </x:c>
      <x:c r="AB49" s="32" t="str"/>
      <x:c r="AC49" s="32" t="str"/>
      <x:c r="AD49" s="32" t="str"/>
      <x:c r="AE49" s="32" t="str"/>
      <x:c r="AF49" s="32" t="str"/>
      <x:c r="AG49" s="32" t="str"/>
      <x:c r="AH49" s="34" t="str"/>
      <x:c r="AI49" s="34" t="str">
        <x:v>Interface constructeur</x:v>
      </x:c>
      <x:c r="AJ49" s="34" t="str"/>
      <x:c r="AK49" s="34" t="str"/>
      <x:c r="AL49" s="34" t="str">
        <x:v>Les cotes IEC autonomes ne s’appliquent pas ; voir la feuille Interfaces intégrées.</x:v>
      </x:c>
      <x:c r="AM49" s="35" t="str">
        <x:v>bonfiglioli:m4sa:j-0p010100000000000001-m-33</x:v>
      </x:c>
    </x:row>
    <x:row r="50">
      <x:c r="A50" s="31" t="str">
        <x:v>Non applicable</x:v>
      </x:c>
      <x:c r="B50" s="31" t="str">
        <x:v>M</x:v>
      </x:c>
      <x:c r="C50" s="31" t="str">
        <x:v>M 4SA</x:v>
      </x:c>
      <x:c r="D50" s="31" t="str">
        <x:v>j-0p0213-m-42</x:v>
      </x:c>
      <x:c r="E50" s="31" t="str">
        <x:v>4</x:v>
      </x:c>
      <x:c r="F50" s="31" t="str">
        <x:v>asynchronous</x:v>
      </x:c>
      <x:c r="G50" s="31"/>
      <x:c r="H50" s="32" t="str"/>
      <x:c r="I50" s="32" t="str">
        <x:v>Catalogue_BONFIGLIOLI_Moteur.pdf p.114</x:v>
      </x:c>
      <x:c r="J50" s="32" t="str">
        <x:v>Catalogue_BONFIGLIOLI_Moteur.pdf p.108-115 ; interface intégrée</x:v>
      </x:c>
      <x:c r="K50" s="32" t="str"/>
      <x:c r="L50" s="33" t="str"/>
      <x:c r="M50" s="32" t="str"/>
      <x:c r="N50" s="33" t="str"/>
      <x:c r="O50" s="32" t="str"/>
      <x:c r="P50" s="33" t="str"/>
      <x:c r="Q50" s="32" t="str"/>
      <x:c r="R50" s="33" t="str"/>
      <x:c r="S50" s="32" t="str"/>
      <x:c r="T50" s="33" t="str"/>
      <x:c r="U50" s="32" t="str"/>
      <x:c r="V50" s="33" t="str"/>
      <x:c r="W50" s="32" t="str"/>
      <x:c r="X50" s="33" t="str"/>
      <x:c r="Y50" s="32" t="str"/>
      <x:c r="Z50" s="33" t="str"/>
      <x:c r="AA50" s="36" t="str">
        <x:f>TRIM(IF(K50="","A ","")&amp;IF(M50="","B ","")&amp;IF(O50="","C ","")&amp;IF(Q50="","H ","")&amp;IF(S50="","K ","")&amp;IF(U50="","D ","")&amp;IF(W50="","E ","")&amp;IF(Y50="","F",""))</x:f>
        <x:v>A B C H K D E F</x:v>
      </x:c>
      <x:c r="AB50" s="32" t="str"/>
      <x:c r="AC50" s="32" t="str"/>
      <x:c r="AD50" s="32" t="str"/>
      <x:c r="AE50" s="32" t="str"/>
      <x:c r="AF50" s="32" t="str"/>
      <x:c r="AG50" s="32" t="str"/>
      <x:c r="AH50" s="34" t="str"/>
      <x:c r="AI50" s="34" t="str">
        <x:v>Interface constructeur</x:v>
      </x:c>
      <x:c r="AJ50" s="34" t="str"/>
      <x:c r="AK50" s="34" t="str"/>
      <x:c r="AL50" s="34" t="str">
        <x:v>Les cotes IEC autonomes ne s’appliquent pas ; voir la feuille Interfaces intégrées.</x:v>
      </x:c>
      <x:c r="AM50" s="35" t="str">
        <x:v>bonfiglioli:m4sa:j-0p0213-m-42</x:v>
      </x:c>
    </x:row>
    <x:row r="51">
      <x:c r="A51" s="31" t="str">
        <x:v>Non applicable</x:v>
      </x:c>
      <x:c r="B51" s="31" t="str">
        <x:v>M</x:v>
      </x:c>
      <x:c r="C51" s="31" t="str">
        <x:v>M 4SA</x:v>
      </x:c>
      <x:c r="D51" s="31" t="str">
        <x:v>j-0p0216-m-34</x:v>
      </x:c>
      <x:c r="E51" s="31" t="str">
        <x:v>6</x:v>
      </x:c>
      <x:c r="F51" s="31" t="str">
        <x:v>asynchronous</x:v>
      </x:c>
      <x:c r="G51" s="31"/>
      <x:c r="H51" s="32" t="str"/>
      <x:c r="I51" s="32" t="str">
        <x:v>Catalogue_BONFIGLIOLI_Moteur.pdf p.114</x:v>
      </x:c>
      <x:c r="J51" s="32" t="str">
        <x:v>Catalogue_BONFIGLIOLI_Moteur.pdf p.108-115 ; interface intégrée</x:v>
      </x:c>
      <x:c r="K51" s="32" t="str"/>
      <x:c r="L51" s="33" t="str"/>
      <x:c r="M51" s="32" t="str"/>
      <x:c r="N51" s="33" t="str"/>
      <x:c r="O51" s="32" t="str"/>
      <x:c r="P51" s="33" t="str"/>
      <x:c r="Q51" s="32" t="str"/>
      <x:c r="R51" s="33" t="str"/>
      <x:c r="S51" s="32" t="str"/>
      <x:c r="T51" s="33" t="str"/>
      <x:c r="U51" s="32" t="str"/>
      <x:c r="V51" s="33" t="str"/>
      <x:c r="W51" s="32" t="str"/>
      <x:c r="X51" s="33" t="str"/>
      <x:c r="Y51" s="32" t="str"/>
      <x:c r="Z51" s="33" t="str"/>
      <x:c r="AA51" s="36" t="str">
        <x:f>TRIM(IF(K51="","A ","")&amp;IF(M51="","B ","")&amp;IF(O51="","C ","")&amp;IF(Q51="","H ","")&amp;IF(S51="","K ","")&amp;IF(U51="","D ","")&amp;IF(W51="","E ","")&amp;IF(Y51="","F",""))</x:f>
        <x:v>A B C H K D E F</x:v>
      </x:c>
      <x:c r="AB51" s="32" t="str"/>
      <x:c r="AC51" s="32" t="str"/>
      <x:c r="AD51" s="32" t="str"/>
      <x:c r="AE51" s="32" t="str"/>
      <x:c r="AF51" s="32" t="str"/>
      <x:c r="AG51" s="32" t="str"/>
      <x:c r="AH51" s="34" t="str"/>
      <x:c r="AI51" s="34" t="str">
        <x:v>Interface constructeur</x:v>
      </x:c>
      <x:c r="AJ51" s="34" t="str"/>
      <x:c r="AK51" s="34" t="str"/>
      <x:c r="AL51" s="34" t="str">
        <x:v>Les cotes IEC autonomes ne s’appliquent pas ; voir la feuille Interfaces intégrées.</x:v>
      </x:c>
      <x:c r="AM51" s="35" t="str">
        <x:v>bonfiglioli:m4sa:j-0p0216-m-34</x:v>
      </x:c>
    </x:row>
    <x:row r="52">
      <x:c r="A52" s="31" t="str">
        <x:v>Non applicable</x:v>
      </x:c>
      <x:c r="B52" s="31" t="str">
        <x:v>M</x:v>
      </x:c>
      <x:c r="C52" s="31" t="str">
        <x:v>M 4SB</x:v>
      </x:c>
      <x:c r="D52" s="31" t="str">
        <x:v>j-0p0134-m-40</x:v>
      </x:c>
      <x:c r="E52" s="31" t="str">
        <x:v>2</x:v>
      </x:c>
      <x:c r="F52" s="31" t="str">
        <x:v>asynchronous</x:v>
      </x:c>
      <x:c r="G52" s="31"/>
      <x:c r="H52" s="32" t="str"/>
      <x:c r="I52" s="32" t="str">
        <x:v>Catalogue_BONFIGLIOLI_Moteur.pdf p.114</x:v>
      </x:c>
      <x:c r="J52" s="32" t="str">
        <x:v>Catalogue_BONFIGLIOLI_Moteur.pdf p.108-115 ; interface intégrée</x:v>
      </x:c>
      <x:c r="K52" s="32" t="str"/>
      <x:c r="L52" s="33" t="str"/>
      <x:c r="M52" s="32" t="str"/>
      <x:c r="N52" s="33" t="str"/>
      <x:c r="O52" s="32" t="str"/>
      <x:c r="P52" s="33" t="str"/>
      <x:c r="Q52" s="32" t="str"/>
      <x:c r="R52" s="33" t="str"/>
      <x:c r="S52" s="32" t="str"/>
      <x:c r="T52" s="33" t="str"/>
      <x:c r="U52" s="32" t="str"/>
      <x:c r="V52" s="33" t="str"/>
      <x:c r="W52" s="32" t="str"/>
      <x:c r="X52" s="33" t="str"/>
      <x:c r="Y52" s="32" t="str"/>
      <x:c r="Z52" s="33" t="str"/>
      <x:c r="AA52" s="36" t="str">
        <x:f>TRIM(IF(K52="","A ","")&amp;IF(M52="","B ","")&amp;IF(O52="","C ","")&amp;IF(Q52="","H ","")&amp;IF(S52="","K ","")&amp;IF(U52="","D ","")&amp;IF(W52="","E ","")&amp;IF(Y52="","F",""))</x:f>
        <x:v>A B C H K D E F</x:v>
      </x:c>
      <x:c r="AB52" s="32" t="str"/>
      <x:c r="AC52" s="32" t="str"/>
      <x:c r="AD52" s="32" t="str"/>
      <x:c r="AE52" s="32" t="str"/>
      <x:c r="AF52" s="32" t="str"/>
      <x:c r="AG52" s="32" t="str"/>
      <x:c r="AH52" s="34" t="str"/>
      <x:c r="AI52" s="34" t="str">
        <x:v>Interface constructeur</x:v>
      </x:c>
      <x:c r="AJ52" s="34" t="str"/>
      <x:c r="AK52" s="34" t="str"/>
      <x:c r="AL52" s="34" t="str">
        <x:v>Les cotes IEC autonomes ne s’appliquent pas ; voir la feuille Interfaces intégrées.</x:v>
      </x:c>
      <x:c r="AM52" s="35" t="str">
        <x:v>bonfiglioli:m4sb:j-0p0134-m-40</x:v>
      </x:c>
    </x:row>
    <x:row r="53">
      <x:c r="A53" s="31" t="str">
        <x:v>Non applicable</x:v>
      </x:c>
      <x:c r="B53" s="31" t="str">
        <x:v>M</x:v>
      </x:c>
      <x:c r="C53" s="31" t="str">
        <x:v>M 05A</x:v>
      </x:c>
      <x:c r="D53" s="31" t="str">
        <x:v>j-0p0002-m-3p2</x:v>
      </x:c>
      <x:c r="E53" s="31" t="str">
        <x:v>2</x:v>
      </x:c>
      <x:c r="F53" s="31" t="str">
        <x:v>asynchronous</x:v>
      </x:c>
      <x:c r="G53" s="31"/>
      <x:c r="H53" s="32" t="str"/>
      <x:c r="I53" s="32" t="str">
        <x:v>Catalogue_BONFIGLIOLI_Moteur.pdf p.114</x:v>
      </x:c>
      <x:c r="J53" s="32" t="str">
        <x:v>Catalogue_BONFIGLIOLI_Moteur.pdf p.108-115 ; interface intégrée</x:v>
      </x:c>
      <x:c r="K53" s="32" t="str"/>
      <x:c r="L53" s="33" t="str"/>
      <x:c r="M53" s="32" t="str"/>
      <x:c r="N53" s="33" t="str"/>
      <x:c r="O53" s="32" t="str"/>
      <x:c r="P53" s="33" t="str"/>
      <x:c r="Q53" s="32" t="str"/>
      <x:c r="R53" s="33" t="str"/>
      <x:c r="S53" s="32" t="str"/>
      <x:c r="T53" s="33" t="str"/>
      <x:c r="U53" s="32" t="str"/>
      <x:c r="V53" s="33" t="str"/>
      <x:c r="W53" s="32" t="str"/>
      <x:c r="X53" s="33" t="str"/>
      <x:c r="Y53" s="32" t="str"/>
      <x:c r="Z53" s="33" t="str"/>
      <x:c r="AA53" s="36" t="str">
        <x:f>TRIM(IF(K53="","A ","")&amp;IF(M53="","B ","")&amp;IF(O53="","C ","")&amp;IF(Q53="","H ","")&amp;IF(S53="","K ","")&amp;IF(U53="","D ","")&amp;IF(W53="","E ","")&amp;IF(Y53="","F",""))</x:f>
        <x:v>A B C H K D E F</x:v>
      </x:c>
      <x:c r="AB53" s="32" t="str"/>
      <x:c r="AC53" s="32" t="str"/>
      <x:c r="AD53" s="32" t="str"/>
      <x:c r="AE53" s="32" t="str"/>
      <x:c r="AF53" s="32" t="str"/>
      <x:c r="AG53" s="32" t="str"/>
      <x:c r="AH53" s="34" t="str"/>
      <x:c r="AI53" s="34" t="str">
        <x:v>Interface constructeur</x:v>
      </x:c>
      <x:c r="AJ53" s="34" t="str"/>
      <x:c r="AK53" s="34" t="str"/>
      <x:c r="AL53" s="34" t="str">
        <x:v>Les cotes IEC autonomes ne s’appliquent pas ; voir la feuille Interfaces intégrées.</x:v>
      </x:c>
      <x:c r="AM53" s="35" t="str">
        <x:v>bonfiglioli:m05a:j-0p0002-m-3p2</x:v>
      </x:c>
    </x:row>
    <x:row r="54">
      <x:c r="A54" s="31" t="str">
        <x:v>Non applicable</x:v>
      </x:c>
      <x:c r="B54" s="31" t="str">
        <x:v>M</x:v>
      </x:c>
      <x:c r="C54" s="31" t="str">
        <x:v>M 05A</x:v>
      </x:c>
      <x:c r="D54" s="31" t="str">
        <x:v>j-0p00034-m-4p3</x:v>
      </x:c>
      <x:c r="E54" s="31" t="str">
        <x:v>6</x:v>
      </x:c>
      <x:c r="F54" s="31" t="str">
        <x:v>asynchronous</x:v>
      </x:c>
      <x:c r="G54" s="31"/>
      <x:c r="H54" s="32" t="str"/>
      <x:c r="I54" s="32" t="str">
        <x:v>Catalogue_BONFIGLIOLI_Moteur.pdf p.114</x:v>
      </x:c>
      <x:c r="J54" s="32" t="str">
        <x:v>Catalogue_BONFIGLIOLI_Moteur.pdf p.108-115 ; interface intégrée</x:v>
      </x:c>
      <x:c r="K54" s="32" t="str"/>
      <x:c r="L54" s="33" t="str"/>
      <x:c r="M54" s="32" t="str"/>
      <x:c r="N54" s="33" t="str"/>
      <x:c r="O54" s="32" t="str"/>
      <x:c r="P54" s="33" t="str"/>
      <x:c r="Q54" s="32" t="str"/>
      <x:c r="R54" s="33" t="str"/>
      <x:c r="S54" s="32" t="str"/>
      <x:c r="T54" s="33" t="str"/>
      <x:c r="U54" s="32" t="str"/>
      <x:c r="V54" s="33" t="str"/>
      <x:c r="W54" s="32" t="str"/>
      <x:c r="X54" s="33" t="str"/>
      <x:c r="Y54" s="32" t="str"/>
      <x:c r="Z54" s="33" t="str"/>
      <x:c r="AA54" s="36" t="str">
        <x:f>TRIM(IF(K54="","A ","")&amp;IF(M54="","B ","")&amp;IF(O54="","C ","")&amp;IF(Q54="","H ","")&amp;IF(S54="","K ","")&amp;IF(U54="","D ","")&amp;IF(W54="","E ","")&amp;IF(Y54="","F",""))</x:f>
        <x:v>A B C H K D E F</x:v>
      </x:c>
      <x:c r="AB54" s="32" t="str"/>
      <x:c r="AC54" s="32" t="str"/>
      <x:c r="AD54" s="32" t="str"/>
      <x:c r="AE54" s="32" t="str"/>
      <x:c r="AF54" s="32" t="str"/>
      <x:c r="AG54" s="32" t="str"/>
      <x:c r="AH54" s="34" t="str"/>
      <x:c r="AI54" s="34" t="str">
        <x:v>Interface constructeur</x:v>
      </x:c>
      <x:c r="AJ54" s="34" t="str"/>
      <x:c r="AK54" s="34" t="str"/>
      <x:c r="AL54" s="34" t="str">
        <x:v>Les cotes IEC autonomes ne s’appliquent pas ; voir la feuille Interfaces intégrées.</x:v>
      </x:c>
      <x:c r="AM54" s="35" t="str">
        <x:v>bonfiglioli:m05a:j-0p00034-m-4p3</x:v>
      </x:c>
    </x:row>
    <x:row r="55">
      <x:c r="A55" s="31" t="str">
        <x:v>Non applicable</x:v>
      </x:c>
      <x:c r="B55" s="31" t="str">
        <x:v>M</x:v>
      </x:c>
      <x:c r="C55" s="31" t="str">
        <x:v>M 05B</x:v>
      </x:c>
      <x:c r="D55" s="31" t="str">
        <x:v>j-0p00022999999999999998-m-3p6</x:v>
      </x:c>
      <x:c r="E55" s="31" t="str">
        <x:v>2</x:v>
      </x:c>
      <x:c r="F55" s="31" t="str">
        <x:v>asynchronous</x:v>
      </x:c>
      <x:c r="G55" s="31"/>
      <x:c r="H55" s="32" t="str"/>
      <x:c r="I55" s="32" t="str">
        <x:v>Catalogue_BONFIGLIOLI_Moteur.pdf p.114</x:v>
      </x:c>
      <x:c r="J55" s="32" t="str">
        <x:v>Catalogue_BONFIGLIOLI_Moteur.pdf p.108-115 ; interface intégrée</x:v>
      </x:c>
      <x:c r="K55" s="32" t="str"/>
      <x:c r="L55" s="33" t="str"/>
      <x:c r="M55" s="32" t="str"/>
      <x:c r="N55" s="33" t="str"/>
      <x:c r="O55" s="32" t="str"/>
      <x:c r="P55" s="33" t="str"/>
      <x:c r="Q55" s="32" t="str"/>
      <x:c r="R55" s="33" t="str"/>
      <x:c r="S55" s="32" t="str"/>
      <x:c r="T55" s="33" t="str"/>
      <x:c r="U55" s="32" t="str"/>
      <x:c r="V55" s="33" t="str"/>
      <x:c r="W55" s="32" t="str"/>
      <x:c r="X55" s="33" t="str"/>
      <x:c r="Y55" s="32" t="str"/>
      <x:c r="Z55" s="33" t="str"/>
      <x:c r="AA55" s="36" t="str">
        <x:f>TRIM(IF(K55="","A ","")&amp;IF(M55="","B ","")&amp;IF(O55="","C ","")&amp;IF(Q55="","H ","")&amp;IF(S55="","K ","")&amp;IF(U55="","D ","")&amp;IF(W55="","E ","")&amp;IF(Y55="","F",""))</x:f>
        <x:v>A B C H K D E F</x:v>
      </x:c>
      <x:c r="AB55" s="32" t="str"/>
      <x:c r="AC55" s="32" t="str"/>
      <x:c r="AD55" s="32" t="str"/>
      <x:c r="AE55" s="32" t="str"/>
      <x:c r="AF55" s="32" t="str"/>
      <x:c r="AG55" s="32" t="str"/>
      <x:c r="AH55" s="34" t="str"/>
      <x:c r="AI55" s="34" t="str">
        <x:v>Interface constructeur</x:v>
      </x:c>
      <x:c r="AJ55" s="34" t="str"/>
      <x:c r="AK55" s="34" t="str"/>
      <x:c r="AL55" s="34" t="str">
        <x:v>Les cotes IEC autonomes ne s’appliquent pas ; voir la feuille Interfaces intégrées.</x:v>
      </x:c>
      <x:c r="AM55" s="35" t="str">
        <x:v>bonfiglioli:m05b:j-0p00022999999999999998-m-3p6</x:v>
      </x:c>
    </x:row>
    <x:row r="56">
      <x:c r="A56" s="31" t="str">
        <x:v>Non applicable</x:v>
      </x:c>
      <x:c r="B56" s="31" t="str">
        <x:v>M</x:v>
      </x:c>
      <x:c r="C56" s="31" t="str">
        <x:v>M 05B</x:v>
      </x:c>
      <x:c r="D56" s="31" t="str">
        <x:v>j-0p00037000000000000005-m-4p6</x:v>
      </x:c>
      <x:c r="E56" s="31" t="str">
        <x:v>6</x:v>
      </x:c>
      <x:c r="F56" s="31" t="str">
        <x:v>asynchronous</x:v>
      </x:c>
      <x:c r="G56" s="31"/>
      <x:c r="H56" s="32" t="str"/>
      <x:c r="I56" s="32" t="str">
        <x:v>Catalogue_BONFIGLIOLI_Moteur.pdf p.114</x:v>
      </x:c>
      <x:c r="J56" s="32" t="str">
        <x:v>Catalogue_BONFIGLIOLI_Moteur.pdf p.108-115 ; interface intégrée</x:v>
      </x:c>
      <x:c r="K56" s="32" t="str"/>
      <x:c r="L56" s="33" t="str"/>
      <x:c r="M56" s="32" t="str"/>
      <x:c r="N56" s="33" t="str"/>
      <x:c r="O56" s="32" t="str"/>
      <x:c r="P56" s="33" t="str"/>
      <x:c r="Q56" s="32" t="str"/>
      <x:c r="R56" s="33" t="str"/>
      <x:c r="S56" s="32" t="str"/>
      <x:c r="T56" s="33" t="str"/>
      <x:c r="U56" s="32" t="str"/>
      <x:c r="V56" s="33" t="str"/>
      <x:c r="W56" s="32" t="str"/>
      <x:c r="X56" s="33" t="str"/>
      <x:c r="Y56" s="32" t="str"/>
      <x:c r="Z56" s="33" t="str"/>
      <x:c r="AA56" s="36" t="str">
        <x:f>TRIM(IF(K56="","A ","")&amp;IF(M56="","B ","")&amp;IF(O56="","C ","")&amp;IF(Q56="","H ","")&amp;IF(S56="","K ","")&amp;IF(U56="","D ","")&amp;IF(W56="","E ","")&amp;IF(Y56="","F",""))</x:f>
        <x:v>A B C H K D E F</x:v>
      </x:c>
      <x:c r="AB56" s="32" t="str"/>
      <x:c r="AC56" s="32" t="str"/>
      <x:c r="AD56" s="32" t="str"/>
      <x:c r="AE56" s="32" t="str"/>
      <x:c r="AF56" s="32" t="str"/>
      <x:c r="AG56" s="32" t="str"/>
      <x:c r="AH56" s="34" t="str"/>
      <x:c r="AI56" s="34" t="str">
        <x:v>Interface constructeur</x:v>
      </x:c>
      <x:c r="AJ56" s="34" t="str"/>
      <x:c r="AK56" s="34" t="str"/>
      <x:c r="AL56" s="34" t="str">
        <x:v>Les cotes IEC autonomes ne s’appliquent pas ; voir la feuille Interfaces intégrées.</x:v>
      </x:c>
      <x:c r="AM56" s="35" t="str">
        <x:v>bonfiglioli:m05b:j-0p00037000000000000005-m-4p6</x:v>
      </x:c>
    </x:row>
    <x:row r="57">
      <x:c r="A57" s="31" t="str">
        <x:v>Non applicable</x:v>
      </x:c>
      <x:c r="B57" s="31" t="str">
        <x:v>M</x:v>
      </x:c>
      <x:c r="C57" s="31" t="str">
        <x:v>M 05C</x:v>
      </x:c>
      <x:c r="D57" s="31" t="str">
        <x:v>j-0p00033-m-4p8</x:v>
      </x:c>
      <x:c r="E57" s="31" t="str">
        <x:v>2</x:v>
      </x:c>
      <x:c r="F57" s="31" t="str">
        <x:v>asynchronous</x:v>
      </x:c>
      <x:c r="G57" s="31"/>
      <x:c r="H57" s="32" t="str"/>
      <x:c r="I57" s="32" t="str">
        <x:v>Catalogue_BONFIGLIOLI_Moteur.pdf p.114</x:v>
      </x:c>
      <x:c r="J57" s="32" t="str">
        <x:v>Catalogue_BONFIGLIOLI_Moteur.pdf p.108-115 ; interface intégrée</x:v>
      </x:c>
      <x:c r="K57" s="32" t="str"/>
      <x:c r="L57" s="33" t="str"/>
      <x:c r="M57" s="32" t="str"/>
      <x:c r="N57" s="33" t="str"/>
      <x:c r="O57" s="32" t="str"/>
      <x:c r="P57" s="33" t="str"/>
      <x:c r="Q57" s="32" t="str"/>
      <x:c r="R57" s="33" t="str"/>
      <x:c r="S57" s="32" t="str"/>
      <x:c r="T57" s="33" t="str"/>
      <x:c r="U57" s="32" t="str"/>
      <x:c r="V57" s="33" t="str"/>
      <x:c r="W57" s="32" t="str"/>
      <x:c r="X57" s="33" t="str"/>
      <x:c r="Y57" s="32" t="str"/>
      <x:c r="Z57" s="33" t="str"/>
      <x:c r="AA57" s="36" t="str">
        <x:f>TRIM(IF(K57="","A ","")&amp;IF(M57="","B ","")&amp;IF(O57="","C ","")&amp;IF(Q57="","H ","")&amp;IF(S57="","K ","")&amp;IF(U57="","D ","")&amp;IF(W57="","E ","")&amp;IF(Y57="","F",""))</x:f>
        <x:v>A B C H K D E F</x:v>
      </x:c>
      <x:c r="AB57" s="32" t="str"/>
      <x:c r="AC57" s="32" t="str"/>
      <x:c r="AD57" s="32" t="str"/>
      <x:c r="AE57" s="32" t="str"/>
      <x:c r="AF57" s="32" t="str"/>
      <x:c r="AG57" s="32" t="str"/>
      <x:c r="AH57" s="34" t="str"/>
      <x:c r="AI57" s="34" t="str">
        <x:v>Interface constructeur</x:v>
      </x:c>
      <x:c r="AJ57" s="34" t="str"/>
      <x:c r="AK57" s="34" t="str"/>
      <x:c r="AL57" s="34" t="str">
        <x:v>Les cotes IEC autonomes ne s’appliquent pas ; voir la feuille Interfaces intégrées.</x:v>
      </x:c>
      <x:c r="AM57" s="35" t="str">
        <x:v>bonfiglioli:m05c:j-0p00033-m-4p8</x:v>
      </x:c>
    </x:row>
    <x:row r="58">
      <x:c r="A58" s="31" t="str">
        <x:v>Non applicable</x:v>
      </x:c>
      <x:c r="B58" s="31" t="str">
        <x:v>M</x:v>
      </x:c>
      <x:c r="C58" s="31" t="str">
        <x:v>M 5LA</x:v>
      </x:c>
      <x:c r="D58" s="31" t="str">
        <x:v>j-0p049-m-95</x:v>
      </x:c>
      <x:c r="E58" s="31" t="str">
        <x:v>2</x:v>
      </x:c>
      <x:c r="F58" s="31" t="str">
        <x:v>asynchronous</x:v>
      </x:c>
      <x:c r="G58" s="31"/>
      <x:c r="H58" s="32" t="str"/>
      <x:c r="I58" s="32" t="str">
        <x:v>Catalogue_BONFIGLIOLI_Moteur.pdf p.114</x:v>
      </x:c>
      <x:c r="J58" s="32" t="str">
        <x:v>Catalogue_BONFIGLIOLI_Moteur.pdf p.108-115 ; interface intégrée</x:v>
      </x:c>
      <x:c r="K58" s="32" t="str"/>
      <x:c r="L58" s="33" t="str"/>
      <x:c r="M58" s="32" t="str"/>
      <x:c r="N58" s="33" t="str"/>
      <x:c r="O58" s="32" t="str"/>
      <x:c r="P58" s="33" t="str"/>
      <x:c r="Q58" s="32" t="str"/>
      <x:c r="R58" s="33" t="str"/>
      <x:c r="S58" s="32" t="str"/>
      <x:c r="T58" s="33" t="str"/>
      <x:c r="U58" s="32" t="str"/>
      <x:c r="V58" s="33" t="str"/>
      <x:c r="W58" s="32" t="str"/>
      <x:c r="X58" s="33" t="str"/>
      <x:c r="Y58" s="32" t="str"/>
      <x:c r="Z58" s="33" t="str"/>
      <x:c r="AA58" s="36" t="str">
        <x:f>TRIM(IF(K58="","A ","")&amp;IF(M58="","B ","")&amp;IF(O58="","C ","")&amp;IF(Q58="","H ","")&amp;IF(S58="","K ","")&amp;IF(U58="","D ","")&amp;IF(W58="","E ","")&amp;IF(Y58="","F",""))</x:f>
        <x:v>A B C H K D E F</x:v>
      </x:c>
      <x:c r="AB58" s="32" t="str"/>
      <x:c r="AC58" s="32" t="str"/>
      <x:c r="AD58" s="32" t="str"/>
      <x:c r="AE58" s="32" t="str"/>
      <x:c r="AF58" s="32" t="str"/>
      <x:c r="AG58" s="32" t="str"/>
      <x:c r="AH58" s="34" t="str"/>
      <x:c r="AI58" s="34" t="str">
        <x:v>Interface constructeur</x:v>
      </x:c>
      <x:c r="AJ58" s="34" t="str"/>
      <x:c r="AK58" s="34" t="str"/>
      <x:c r="AL58" s="34" t="str">
        <x:v>Les cotes IEC autonomes ne s’appliquent pas ; voir la feuille Interfaces intégrées.</x:v>
      </x:c>
      <x:c r="AM58" s="35" t="str">
        <x:v>bonfiglioli:m5la:j-0p049-m-95</x:v>
      </x:c>
    </x:row>
    <x:row r="59">
      <x:c r="A59" s="31" t="str">
        <x:v>Non applicable</x:v>
      </x:c>
      <x:c r="B59" s="31" t="str">
        <x:v>M</x:v>
      </x:c>
      <x:c r="C59" s="31" t="str">
        <x:v>M 5LA</x:v>
      </x:c>
      <x:c r="D59" s="31" t="str">
        <x:v>j-0p079-m-101</x:v>
      </x:c>
      <x:c r="E59" s="31" t="str">
        <x:v>4</x:v>
      </x:c>
      <x:c r="F59" s="31" t="str">
        <x:v>asynchronous</x:v>
      </x:c>
      <x:c r="G59" s="31"/>
      <x:c r="H59" s="32" t="str"/>
      <x:c r="I59" s="32" t="str">
        <x:v>Catalogue_BONFIGLIOLI_Moteur.pdf p.114</x:v>
      </x:c>
      <x:c r="J59" s="32" t="str">
        <x:v>Catalogue_BONFIGLIOLI_Moteur.pdf p.108-115 ; interface intégrée</x:v>
      </x:c>
      <x:c r="K59" s="32" t="str"/>
      <x:c r="L59" s="33" t="str"/>
      <x:c r="M59" s="32" t="str"/>
      <x:c r="N59" s="33" t="str"/>
      <x:c r="O59" s="32" t="str"/>
      <x:c r="P59" s="33" t="str"/>
      <x:c r="Q59" s="32" t="str"/>
      <x:c r="R59" s="33" t="str"/>
      <x:c r="S59" s="32" t="str"/>
      <x:c r="T59" s="33" t="str"/>
      <x:c r="U59" s="32" t="str"/>
      <x:c r="V59" s="33" t="str"/>
      <x:c r="W59" s="32" t="str"/>
      <x:c r="X59" s="33" t="str"/>
      <x:c r="Y59" s="32" t="str"/>
      <x:c r="Z59" s="33" t="str"/>
      <x:c r="AA59" s="36" t="str">
        <x:f>TRIM(IF(K59="","A ","")&amp;IF(M59="","B ","")&amp;IF(O59="","C ","")&amp;IF(Q59="","H ","")&amp;IF(S59="","K ","")&amp;IF(U59="","D ","")&amp;IF(W59="","E ","")&amp;IF(Y59="","F",""))</x:f>
        <x:v>A B C H K D E F</x:v>
      </x:c>
      <x:c r="AB59" s="32" t="str"/>
      <x:c r="AC59" s="32" t="str"/>
      <x:c r="AD59" s="32" t="str"/>
      <x:c r="AE59" s="32" t="str"/>
      <x:c r="AF59" s="32" t="str"/>
      <x:c r="AG59" s="32" t="str"/>
      <x:c r="AH59" s="34" t="str"/>
      <x:c r="AI59" s="34" t="str">
        <x:v>Interface constructeur</x:v>
      </x:c>
      <x:c r="AJ59" s="34" t="str"/>
      <x:c r="AK59" s="34" t="str"/>
      <x:c r="AL59" s="34" t="str">
        <x:v>Les cotes IEC autonomes ne s’appliquent pas ; voir la feuille Interfaces intégrées.</x:v>
      </x:c>
      <x:c r="AM59" s="35" t="str">
        <x:v>bonfiglioli:m5la:j-0p079-m-101</x:v>
      </x:c>
    </x:row>
    <x:row r="60">
      <x:c r="A60" s="31" t="str">
        <x:v>Non applicable</x:v>
      </x:c>
      <x:c r="B60" s="31" t="str">
        <x:v>M</x:v>
      </x:c>
      <x:c r="C60" s="31" t="str">
        <x:v>M 5SA</x:v>
      </x:c>
      <x:c r="D60" s="31" t="str">
        <x:v>j-0p07400000000000001-m-69</x:v>
      </x:c>
      <x:c r="E60" s="31" t="str">
        <x:v>6</x:v>
      </x:c>
      <x:c r="F60" s="31" t="str">
        <x:v>asynchronous</x:v>
      </x:c>
      <x:c r="G60" s="31"/>
      <x:c r="H60" s="32" t="str"/>
      <x:c r="I60" s="32" t="str">
        <x:v>Catalogue_BONFIGLIOLI_Moteur.pdf p.114</x:v>
      </x:c>
      <x:c r="J60" s="32" t="str">
        <x:v>Catalogue_BONFIGLIOLI_Moteur.pdf p.108-115 ; interface intégrée</x:v>
      </x:c>
      <x:c r="K60" s="32" t="str"/>
      <x:c r="L60" s="33" t="str"/>
      <x:c r="M60" s="32" t="str"/>
      <x:c r="N60" s="33" t="str"/>
      <x:c r="O60" s="32" t="str"/>
      <x:c r="P60" s="33" t="str"/>
      <x:c r="Q60" s="32" t="str"/>
      <x:c r="R60" s="33" t="str"/>
      <x:c r="S60" s="32" t="str"/>
      <x:c r="T60" s="33" t="str"/>
      <x:c r="U60" s="32" t="str"/>
      <x:c r="V60" s="33" t="str"/>
      <x:c r="W60" s="32" t="str"/>
      <x:c r="X60" s="33" t="str"/>
      <x:c r="Y60" s="32" t="str"/>
      <x:c r="Z60" s="33" t="str"/>
      <x:c r="AA60" s="36" t="str">
        <x:f>TRIM(IF(K60="","A ","")&amp;IF(M60="","B ","")&amp;IF(O60="","C ","")&amp;IF(Q60="","H ","")&amp;IF(S60="","K ","")&amp;IF(U60="","D ","")&amp;IF(W60="","E ","")&amp;IF(Y60="","F",""))</x:f>
        <x:v>A B C H K D E F</x:v>
      </x:c>
      <x:c r="AB60" s="32" t="str"/>
      <x:c r="AC60" s="32" t="str"/>
      <x:c r="AD60" s="32" t="str"/>
      <x:c r="AE60" s="32" t="str"/>
      <x:c r="AF60" s="32" t="str"/>
      <x:c r="AG60" s="32" t="str"/>
      <x:c r="AH60" s="34" t="str"/>
      <x:c r="AI60" s="34" t="str">
        <x:v>Interface constructeur</x:v>
      </x:c>
      <x:c r="AJ60" s="34" t="str"/>
      <x:c r="AK60" s="34" t="str"/>
      <x:c r="AL60" s="34" t="str">
        <x:v>Les cotes IEC autonomes ne s’appliquent pas ; voir la feuille Interfaces intégrées.</x:v>
      </x:c>
      <x:c r="AM60" s="35" t="str">
        <x:v>bonfiglioli:m5sa:j-0p07400000000000001-m-69</x:v>
      </x:c>
    </x:row>
    <x:row r="61">
      <x:c r="A61" s="31" t="str">
        <x:v>Non applicable</x:v>
      </x:c>
      <x:c r="B61" s="31" t="str">
        <x:v>M</x:v>
      </x:c>
      <x:c r="C61" s="31" t="str">
        <x:v>M 5SB</x:v>
      </x:c>
      <x:c r="D61" s="31" t="str">
        <x:v>j-0p034-m-70</x:v>
      </x:c>
      <x:c r="E61" s="31" t="str">
        <x:v>2</x:v>
      </x:c>
      <x:c r="F61" s="31" t="str">
        <x:v>asynchronous</x:v>
      </x:c>
      <x:c r="G61" s="31"/>
      <x:c r="H61" s="32" t="str"/>
      <x:c r="I61" s="32" t="str">
        <x:v>Catalogue_BONFIGLIOLI_Moteur.pdf p.114</x:v>
      </x:c>
      <x:c r="J61" s="32" t="str">
        <x:v>Catalogue_BONFIGLIOLI_Moteur.pdf p.108-115 ; interface intégrée</x:v>
      </x:c>
      <x:c r="K61" s="32" t="str"/>
      <x:c r="L61" s="33" t="str"/>
      <x:c r="M61" s="32" t="str"/>
      <x:c r="N61" s="33" t="str"/>
      <x:c r="O61" s="32" t="str"/>
      <x:c r="P61" s="33" t="str"/>
      <x:c r="Q61" s="32" t="str"/>
      <x:c r="R61" s="33" t="str"/>
      <x:c r="S61" s="32" t="str"/>
      <x:c r="T61" s="33" t="str"/>
      <x:c r="U61" s="32" t="str"/>
      <x:c r="V61" s="33" t="str"/>
      <x:c r="W61" s="32" t="str"/>
      <x:c r="X61" s="33" t="str"/>
      <x:c r="Y61" s="32" t="str"/>
      <x:c r="Z61" s="33" t="str"/>
      <x:c r="AA61" s="36" t="str">
        <x:f>TRIM(IF(K61="","A ","")&amp;IF(M61="","B ","")&amp;IF(O61="","C ","")&amp;IF(Q61="","H ","")&amp;IF(S61="","K ","")&amp;IF(U61="","D ","")&amp;IF(W61="","E ","")&amp;IF(Y61="","F",""))</x:f>
        <x:v>A B C H K D E F</x:v>
      </x:c>
      <x:c r="AB61" s="32" t="str"/>
      <x:c r="AC61" s="32" t="str"/>
      <x:c r="AD61" s="32" t="str"/>
      <x:c r="AE61" s="32" t="str"/>
      <x:c r="AF61" s="32" t="str"/>
      <x:c r="AG61" s="32" t="str"/>
      <x:c r="AH61" s="34" t="str"/>
      <x:c r="AI61" s="34" t="str">
        <x:v>Interface constructeur</x:v>
      </x:c>
      <x:c r="AJ61" s="34" t="str"/>
      <x:c r="AK61" s="34" t="str"/>
      <x:c r="AL61" s="34" t="str">
        <x:v>Les cotes IEC autonomes ne s’appliquent pas ; voir la feuille Interfaces intégrées.</x:v>
      </x:c>
      <x:c r="AM61" s="35" t="str">
        <x:v>bonfiglioli:m5sb:j-0p034-m-70</x:v>
      </x:c>
    </x:row>
    <x:row r="62">
      <x:c r="A62" s="31" t="str">
        <x:v>Non applicable</x:v>
      </x:c>
      <x:c r="B62" s="31" t="str">
        <x:v>M</x:v>
      </x:c>
      <x:c r="C62" s="31" t="str">
        <x:v>M 5SB</x:v>
      </x:c>
      <x:c r="D62" s="31" t="str">
        <x:v>j-0p065-m-85</x:v>
      </x:c>
      <x:c r="E62" s="31" t="str">
        <x:v>4</x:v>
      </x:c>
      <x:c r="F62" s="31" t="str">
        <x:v>asynchronous</x:v>
      </x:c>
      <x:c r="G62" s="31"/>
      <x:c r="H62" s="32" t="str"/>
      <x:c r="I62" s="32" t="str">
        <x:v>Catalogue_BONFIGLIOLI_Moteur.pdf p.114</x:v>
      </x:c>
      <x:c r="J62" s="32" t="str">
        <x:v>Catalogue_BONFIGLIOLI_Moteur.pdf p.108-115 ; interface intégrée</x:v>
      </x:c>
      <x:c r="K62" s="32" t="str"/>
      <x:c r="L62" s="33" t="str"/>
      <x:c r="M62" s="32" t="str"/>
      <x:c r="N62" s="33" t="str"/>
      <x:c r="O62" s="32" t="str"/>
      <x:c r="P62" s="33" t="str"/>
      <x:c r="Q62" s="32" t="str"/>
      <x:c r="R62" s="33" t="str"/>
      <x:c r="S62" s="32" t="str"/>
      <x:c r="T62" s="33" t="str"/>
      <x:c r="U62" s="32" t="str"/>
      <x:c r="V62" s="33" t="str"/>
      <x:c r="W62" s="32" t="str"/>
      <x:c r="X62" s="33" t="str"/>
      <x:c r="Y62" s="32" t="str"/>
      <x:c r="Z62" s="33" t="str"/>
      <x:c r="AA62" s="36" t="str">
        <x:f>TRIM(IF(K62="","A ","")&amp;IF(M62="","B ","")&amp;IF(O62="","C ","")&amp;IF(Q62="","H ","")&amp;IF(S62="","K ","")&amp;IF(U62="","D ","")&amp;IF(W62="","E ","")&amp;IF(Y62="","F",""))</x:f>
        <x:v>A B C H K D E F</x:v>
      </x:c>
      <x:c r="AB62" s="32" t="str"/>
      <x:c r="AC62" s="32" t="str"/>
      <x:c r="AD62" s="32" t="str"/>
      <x:c r="AE62" s="32" t="str"/>
      <x:c r="AF62" s="32" t="str"/>
      <x:c r="AG62" s="32" t="str"/>
      <x:c r="AH62" s="34" t="str"/>
      <x:c r="AI62" s="34" t="str">
        <x:v>Interface constructeur</x:v>
      </x:c>
      <x:c r="AJ62" s="34" t="str"/>
      <x:c r="AK62" s="34" t="str"/>
      <x:c r="AL62" s="34" t="str">
        <x:v>Les cotes IEC autonomes ne s’appliquent pas ; voir la feuille Interfaces intégrées.</x:v>
      </x:c>
      <x:c r="AM62" s="35" t="str">
        <x:v>bonfiglioli:m5sb:j-0p065-m-85</x:v>
      </x:c>
    </x:row>
    <x:row r="63">
      <x:c r="A63" s="31" t="str">
        <x:v>Non applicable</x:v>
      </x:c>
      <x:c r="B63" s="31" t="str">
        <x:v>M</x:v>
      </x:c>
      <x:c r="C63" s="31" t="str">
        <x:v>M 5SB</x:v>
      </x:c>
      <x:c r="D63" s="31" t="str">
        <x:v>j-0p097-m-89</x:v>
      </x:c>
      <x:c r="E63" s="31" t="str">
        <x:v>6</x:v>
      </x:c>
      <x:c r="F63" s="31" t="str">
        <x:v>asynchronous</x:v>
      </x:c>
      <x:c r="G63" s="31"/>
      <x:c r="H63" s="32" t="str"/>
      <x:c r="I63" s="32" t="str">
        <x:v>Catalogue_BONFIGLIOLI_Moteur.pdf p.114</x:v>
      </x:c>
      <x:c r="J63" s="32" t="str">
        <x:v>Catalogue_BONFIGLIOLI_Moteur.pdf p.108-115 ; interface intégrée</x:v>
      </x:c>
      <x:c r="K63" s="32" t="str"/>
      <x:c r="L63" s="33" t="str"/>
      <x:c r="M63" s="32" t="str"/>
      <x:c r="N63" s="33" t="str"/>
      <x:c r="O63" s="32" t="str"/>
      <x:c r="P63" s="33" t="str"/>
      <x:c r="Q63" s="32" t="str"/>
      <x:c r="R63" s="33" t="str"/>
      <x:c r="S63" s="32" t="str"/>
      <x:c r="T63" s="33" t="str"/>
      <x:c r="U63" s="32" t="str"/>
      <x:c r="V63" s="33" t="str"/>
      <x:c r="W63" s="32" t="str"/>
      <x:c r="X63" s="33" t="str"/>
      <x:c r="Y63" s="32" t="str"/>
      <x:c r="Z63" s="33" t="str"/>
      <x:c r="AA63" s="36" t="str">
        <x:f>TRIM(IF(K63="","A ","")&amp;IF(M63="","B ","")&amp;IF(O63="","C ","")&amp;IF(Q63="","H ","")&amp;IF(S63="","K ","")&amp;IF(U63="","D ","")&amp;IF(W63="","E ","")&amp;IF(Y63="","F",""))</x:f>
        <x:v>A B C H K D E F</x:v>
      </x:c>
      <x:c r="AB63" s="32" t="str"/>
      <x:c r="AC63" s="32" t="str"/>
      <x:c r="AD63" s="32" t="str"/>
      <x:c r="AE63" s="32" t="str"/>
      <x:c r="AF63" s="32" t="str"/>
      <x:c r="AG63" s="32" t="str"/>
      <x:c r="AH63" s="34" t="str"/>
      <x:c r="AI63" s="34" t="str">
        <x:v>Interface constructeur</x:v>
      </x:c>
      <x:c r="AJ63" s="34" t="str"/>
      <x:c r="AK63" s="34" t="str"/>
      <x:c r="AL63" s="34" t="str">
        <x:v>Les cotes IEC autonomes ne s’appliquent pas ; voir la feuille Interfaces intégrées.</x:v>
      </x:c>
      <x:c r="AM63" s="35" t="str">
        <x:v>bonfiglioli:m5sb:j-0p097-m-89</x:v>
      </x:c>
    </x:row>
    <x:row r="64">
      <x:c r="A64" s="31" t="str">
        <x:v>Non applicable</x:v>
      </x:c>
      <x:c r="B64" s="31" t="str">
        <x:v>M</x:v>
      </x:c>
      <x:c r="C64" s="31" t="str">
        <x:v>M 5SC</x:v>
      </x:c>
      <x:c r="D64" s="31" t="str">
        <x:v>j-0p042-m-83</x:v>
      </x:c>
      <x:c r="E64" s="31" t="str">
        <x:v>2</x:v>
      </x:c>
      <x:c r="F64" s="31" t="str">
        <x:v>asynchronous</x:v>
      </x:c>
      <x:c r="G64" s="31"/>
      <x:c r="H64" s="32" t="str"/>
      <x:c r="I64" s="32" t="str">
        <x:v>Catalogue_BONFIGLIOLI_Moteur.pdf p.114</x:v>
      </x:c>
      <x:c r="J64" s="32" t="str">
        <x:v>Catalogue_BONFIGLIOLI_Moteur.pdf p.108-115 ; interface intégrée</x:v>
      </x:c>
      <x:c r="K64" s="32" t="str"/>
      <x:c r="L64" s="33" t="str"/>
      <x:c r="M64" s="32" t="str"/>
      <x:c r="N64" s="33" t="str"/>
      <x:c r="O64" s="32" t="str"/>
      <x:c r="P64" s="33" t="str"/>
      <x:c r="Q64" s="32" t="str"/>
      <x:c r="R64" s="33" t="str"/>
      <x:c r="S64" s="32" t="str"/>
      <x:c r="T64" s="33" t="str"/>
      <x:c r="U64" s="32" t="str"/>
      <x:c r="V64" s="33" t="str"/>
      <x:c r="W64" s="32" t="str"/>
      <x:c r="X64" s="33" t="str"/>
      <x:c r="Y64" s="32" t="str"/>
      <x:c r="Z64" s="33" t="str"/>
      <x:c r="AA64" s="36" t="str">
        <x:f>TRIM(IF(K64="","A ","")&amp;IF(M64="","B ","")&amp;IF(O64="","C ","")&amp;IF(Q64="","H ","")&amp;IF(S64="","K ","")&amp;IF(U64="","D ","")&amp;IF(W64="","E ","")&amp;IF(Y64="","F",""))</x:f>
        <x:v>A B C H K D E F</x:v>
      </x:c>
      <x:c r="AB64" s="32" t="str"/>
      <x:c r="AC64" s="32" t="str"/>
      <x:c r="AD64" s="32" t="str"/>
      <x:c r="AE64" s="32" t="str"/>
      <x:c r="AF64" s="32" t="str"/>
      <x:c r="AG64" s="32" t="str"/>
      <x:c r="AH64" s="34" t="str"/>
      <x:c r="AI64" s="34" t="str">
        <x:v>Interface constructeur</x:v>
      </x:c>
      <x:c r="AJ64" s="34" t="str"/>
      <x:c r="AK64" s="34" t="str"/>
      <x:c r="AL64" s="34" t="str">
        <x:v>Les cotes IEC autonomes ne s’appliquent pas ; voir la feuille Interfaces intégrées.</x:v>
      </x:c>
      <x:c r="AM64" s="35" t="str">
        <x:v>bonfiglioli:m5sc:j-0p042-m-83</x:v>
      </x:c>
    </x:row>
    <x:row r="65">
      <x:c r="A65" s="31" t="str">
        <x:v>Non applicable</x:v>
      </x:c>
      <x:c r="B65" s="31" t="str">
        <x:v>ME</x:v>
      </x:c>
      <x:c r="C65" s="31" t="str">
        <x:v>ME 1SA</x:v>
      </x:c>
      <x:c r="D65" s="31" t="str">
        <x:v>j-0p00058-m-4p8</x:v>
      </x:c>
      <x:c r="E65" s="31" t="str">
        <x:v>4</x:v>
      </x:c>
      <x:c r="F65" s="31" t="str">
        <x:v>asynchronous</x:v>
      </x:c>
      <x:c r="G65" s="31"/>
      <x:c r="H65" s="32" t="str"/>
      <x:c r="I65" s="32" t="str">
        <x:v>Catalogue_BONFIGLIOLI_Moteur.pdf p.96</x:v>
      </x:c>
      <x:c r="J65" s="32" t="str">
        <x:v>Catalogue_BONFIGLIOLI_Moteur.pdf p.90-97 ; interface intégrée</x:v>
      </x:c>
      <x:c r="K65" s="32" t="str"/>
      <x:c r="L65" s="33" t="str"/>
      <x:c r="M65" s="32" t="str"/>
      <x:c r="N65" s="33" t="str"/>
      <x:c r="O65" s="32" t="str"/>
      <x:c r="P65" s="33" t="str"/>
      <x:c r="Q65" s="32" t="str"/>
      <x:c r="R65" s="33" t="str"/>
      <x:c r="S65" s="32" t="str"/>
      <x:c r="T65" s="33" t="str"/>
      <x:c r="U65" s="32" t="str"/>
      <x:c r="V65" s="33" t="str"/>
      <x:c r="W65" s="32" t="str"/>
      <x:c r="X65" s="33" t="str"/>
      <x:c r="Y65" s="32" t="str"/>
      <x:c r="Z65" s="33" t="str"/>
      <x:c r="AA65" s="36" t="str">
        <x:f>TRIM(IF(K65="","A ","")&amp;IF(M65="","B ","")&amp;IF(O65="","C ","")&amp;IF(Q65="","H ","")&amp;IF(S65="","K ","")&amp;IF(U65="","D ","")&amp;IF(W65="","E ","")&amp;IF(Y65="","F",""))</x:f>
        <x:v>A B C H K D E F</x:v>
      </x:c>
      <x:c r="AB65" s="32" t="str"/>
      <x:c r="AC65" s="32" t="str"/>
      <x:c r="AD65" s="32" t="str"/>
      <x:c r="AE65" s="32" t="str"/>
      <x:c r="AF65" s="32" t="str"/>
      <x:c r="AG65" s="32" t="str"/>
      <x:c r="AH65" s="34" t="str"/>
      <x:c r="AI65" s="34" t="str">
        <x:v>Interface constructeur</x:v>
      </x:c>
      <x:c r="AJ65" s="34" t="str"/>
      <x:c r="AK65" s="34" t="str"/>
      <x:c r="AL65" s="34" t="str">
        <x:v>Les cotes IEC autonomes ne s’appliquent pas ; voir la feuille Interfaces intégrées.</x:v>
      </x:c>
      <x:c r="AM65" s="35" t="str">
        <x:v>bonfiglioli:me1sa:j-0p00058-m-4p8</x:v>
      </x:c>
    </x:row>
    <x:row r="66">
      <x:c r="A66" s="31" t="str">
        <x:v>Non applicable</x:v>
      </x:c>
      <x:c r="B66" s="31" t="str">
        <x:v>ME</x:v>
      </x:c>
      <x:c r="C66" s="31" t="str">
        <x:v>ME 1SB</x:v>
      </x:c>
      <x:c r="D66" s="31" t="str">
        <x:v>j-0p0006900000000000001-m-5p5</x:v>
      </x:c>
      <x:c r="E66" s="31" t="str">
        <x:v>4</x:v>
      </x:c>
      <x:c r="F66" s="31" t="str">
        <x:v>asynchronous</x:v>
      </x:c>
      <x:c r="G66" s="31"/>
      <x:c r="H66" s="32" t="str"/>
      <x:c r="I66" s="32" t="str">
        <x:v>Catalogue_BONFIGLIOLI_Moteur.pdf p.96</x:v>
      </x:c>
      <x:c r="J66" s="32" t="str">
        <x:v>Catalogue_BONFIGLIOLI_Moteur.pdf p.90-97 ; interface intégrée</x:v>
      </x:c>
      <x:c r="K66" s="32" t="str"/>
      <x:c r="L66" s="33" t="str"/>
      <x:c r="M66" s="32" t="str"/>
      <x:c r="N66" s="33" t="str"/>
      <x:c r="O66" s="32" t="str"/>
      <x:c r="P66" s="33" t="str"/>
      <x:c r="Q66" s="32" t="str"/>
      <x:c r="R66" s="33" t="str"/>
      <x:c r="S66" s="32" t="str"/>
      <x:c r="T66" s="33" t="str"/>
      <x:c r="U66" s="32" t="str"/>
      <x:c r="V66" s="33" t="str"/>
      <x:c r="W66" s="32" t="str"/>
      <x:c r="X66" s="33" t="str"/>
      <x:c r="Y66" s="32" t="str"/>
      <x:c r="Z66" s="33" t="str"/>
      <x:c r="AA66" s="36" t="str">
        <x:f>TRIM(IF(K66="","A ","")&amp;IF(M66="","B ","")&amp;IF(O66="","C ","")&amp;IF(Q66="","H ","")&amp;IF(S66="","K ","")&amp;IF(U66="","D ","")&amp;IF(W66="","E ","")&amp;IF(Y66="","F",""))</x:f>
        <x:v>A B C H K D E F</x:v>
      </x:c>
      <x:c r="AB66" s="32" t="str"/>
      <x:c r="AC66" s="32" t="str"/>
      <x:c r="AD66" s="32" t="str"/>
      <x:c r="AE66" s="32" t="str"/>
      <x:c r="AF66" s="32" t="str"/>
      <x:c r="AG66" s="32" t="str"/>
      <x:c r="AH66" s="34" t="str"/>
      <x:c r="AI66" s="34" t="str">
        <x:v>Interface constructeur</x:v>
      </x:c>
      <x:c r="AJ66" s="34" t="str"/>
      <x:c r="AK66" s="34" t="str"/>
      <x:c r="AL66" s="34" t="str">
        <x:v>Les cotes IEC autonomes ne s’appliquent pas ; voir la feuille Interfaces intégrées.</x:v>
      </x:c>
      <x:c r="AM66" s="35" t="str">
        <x:v>bonfiglioli:me1sb:j-0p0006900000000000001-m-5p5</x:v>
      </x:c>
    </x:row>
    <x:row r="67">
      <x:c r="A67" s="31" t="str">
        <x:v>Non applicable</x:v>
      </x:c>
      <x:c r="B67" s="31" t="str">
        <x:v>ME</x:v>
      </x:c>
      <x:c r="C67" s="31" t="str">
        <x:v>ME 2SA</x:v>
      </x:c>
      <x:c r="D67" s="31" t="str">
        <x:v>j-0p0009000000000000001-m-8p8</x:v>
      </x:c>
      <x:c r="E67" s="31" t="str">
        <x:v>2</x:v>
      </x:c>
      <x:c r="F67" s="31" t="str">
        <x:v>asynchronous</x:v>
      </x:c>
      <x:c r="G67" s="31"/>
      <x:c r="H67" s="32" t="str"/>
      <x:c r="I67" s="32" t="str">
        <x:v>Catalogue_BONFIGLIOLI_Moteur.pdf p.96</x:v>
      </x:c>
      <x:c r="J67" s="32" t="str">
        <x:v>Catalogue_BONFIGLIOLI_Moteur.pdf p.90-97 ; interface intégrée</x:v>
      </x:c>
      <x:c r="K67" s="32" t="str"/>
      <x:c r="L67" s="33" t="str"/>
      <x:c r="M67" s="32" t="str"/>
      <x:c r="N67" s="33" t="str"/>
      <x:c r="O67" s="32" t="str"/>
      <x:c r="P67" s="33" t="str"/>
      <x:c r="Q67" s="32" t="str"/>
      <x:c r="R67" s="33" t="str"/>
      <x:c r="S67" s="32" t="str"/>
      <x:c r="T67" s="33" t="str"/>
      <x:c r="U67" s="32" t="str"/>
      <x:c r="V67" s="33" t="str"/>
      <x:c r="W67" s="32" t="str"/>
      <x:c r="X67" s="33" t="str"/>
      <x:c r="Y67" s="32" t="str"/>
      <x:c r="Z67" s="33" t="str"/>
      <x:c r="AA67" s="36" t="str">
        <x:f>TRIM(IF(K67="","A ","")&amp;IF(M67="","B ","")&amp;IF(O67="","C ","")&amp;IF(Q67="","H ","")&amp;IF(S67="","K ","")&amp;IF(U67="","D ","")&amp;IF(W67="","E ","")&amp;IF(Y67="","F",""))</x:f>
        <x:v>A B C H K D E F</x:v>
      </x:c>
      <x:c r="AB67" s="32" t="str"/>
      <x:c r="AC67" s="32" t="str"/>
      <x:c r="AD67" s="32" t="str"/>
      <x:c r="AE67" s="32" t="str"/>
      <x:c r="AF67" s="32" t="str"/>
      <x:c r="AG67" s="32" t="str"/>
      <x:c r="AH67" s="34" t="str"/>
      <x:c r="AI67" s="34" t="str">
        <x:v>Interface constructeur</x:v>
      </x:c>
      <x:c r="AJ67" s="34" t="str"/>
      <x:c r="AK67" s="34" t="str"/>
      <x:c r="AL67" s="34" t="str">
        <x:v>Les cotes IEC autonomes ne s’appliquent pas ; voir la feuille Interfaces intégrées.</x:v>
      </x:c>
      <x:c r="AM67" s="35" t="str">
        <x:v>bonfiglioli:me2sa:j-0p0009000000000000001-m-8p8</x:v>
      </x:c>
    </x:row>
    <x:row r="68">
      <x:c r="A68" s="31" t="str">
        <x:v>Non applicable</x:v>
      </x:c>
      <x:c r="B68" s="31" t="str">
        <x:v>ME</x:v>
      </x:c>
      <x:c r="C68" s="31" t="str">
        <x:v>ME 2SA</x:v>
      </x:c>
      <x:c r="D68" s="31" t="str">
        <x:v>j-0p0019-m-9p9</x:v>
      </x:c>
      <x:c r="E68" s="31" t="str">
        <x:v>4</x:v>
      </x:c>
      <x:c r="F68" s="31" t="str">
        <x:v>asynchronous</x:v>
      </x:c>
      <x:c r="G68" s="31"/>
      <x:c r="H68" s="32" t="str"/>
      <x:c r="I68" s="32" t="str">
        <x:v>Catalogue_BONFIGLIOLI_Moteur.pdf p.96</x:v>
      </x:c>
      <x:c r="J68" s="32" t="str">
        <x:v>Catalogue_BONFIGLIOLI_Moteur.pdf p.90-97 ; interface intégrée</x:v>
      </x:c>
      <x:c r="K68" s="32" t="str"/>
      <x:c r="L68" s="33" t="str"/>
      <x:c r="M68" s="32" t="str"/>
      <x:c r="N68" s="33" t="str"/>
      <x:c r="O68" s="32" t="str"/>
      <x:c r="P68" s="33" t="str"/>
      <x:c r="Q68" s="32" t="str"/>
      <x:c r="R68" s="33" t="str"/>
      <x:c r="S68" s="32" t="str"/>
      <x:c r="T68" s="33" t="str"/>
      <x:c r="U68" s="32" t="str"/>
      <x:c r="V68" s="33" t="str"/>
      <x:c r="W68" s="32" t="str"/>
      <x:c r="X68" s="33" t="str"/>
      <x:c r="Y68" s="32" t="str"/>
      <x:c r="Z68" s="33" t="str"/>
      <x:c r="AA68" s="36" t="str">
        <x:f>TRIM(IF(K68="","A ","")&amp;IF(M68="","B ","")&amp;IF(O68="","C ","")&amp;IF(Q68="","H ","")&amp;IF(S68="","K ","")&amp;IF(U68="","D ","")&amp;IF(W68="","E ","")&amp;IF(Y68="","F",""))</x:f>
        <x:v>A B C H K D E F</x:v>
      </x:c>
      <x:c r="AB68" s="32" t="str"/>
      <x:c r="AC68" s="32" t="str"/>
      <x:c r="AD68" s="32" t="str"/>
      <x:c r="AE68" s="32" t="str"/>
      <x:c r="AF68" s="32" t="str"/>
      <x:c r="AG68" s="32" t="str"/>
      <x:c r="AH68" s="34" t="str"/>
      <x:c r="AI68" s="34" t="str">
        <x:v>Interface constructeur</x:v>
      </x:c>
      <x:c r="AJ68" s="34" t="str"/>
      <x:c r="AK68" s="34" t="str"/>
      <x:c r="AL68" s="34" t="str">
        <x:v>Les cotes IEC autonomes ne s’appliquent pas ; voir la feuille Interfaces intégrées.</x:v>
      </x:c>
      <x:c r="AM68" s="35" t="str">
        <x:v>bonfiglioli:me2sa:j-0p0019-m-9p9</x:v>
      </x:c>
    </x:row>
    <x:row r="69">
      <x:c r="A69" s="31" t="str">
        <x:v>Non applicable</x:v>
      </x:c>
      <x:c r="B69" s="31" t="str">
        <x:v>ME</x:v>
      </x:c>
      <x:c r="C69" s="31" t="str">
        <x:v>ME 2SB</x:v>
      </x:c>
      <x:c r="D69" s="31" t="str">
        <x:v>j-0p0011400000000000002-m-10p6</x:v>
      </x:c>
      <x:c r="E69" s="31" t="str">
        <x:v>2</x:v>
      </x:c>
      <x:c r="F69" s="31" t="str">
        <x:v>asynchronous</x:v>
      </x:c>
      <x:c r="G69" s="31"/>
      <x:c r="H69" s="32" t="str"/>
      <x:c r="I69" s="32" t="str">
        <x:v>Catalogue_BONFIGLIOLI_Moteur.pdf p.96</x:v>
      </x:c>
      <x:c r="J69" s="32" t="str">
        <x:v>Catalogue_BONFIGLIOLI_Moteur.pdf p.90-97 ; interface intégrée</x:v>
      </x:c>
      <x:c r="K69" s="32" t="str"/>
      <x:c r="L69" s="33" t="str"/>
      <x:c r="M69" s="32" t="str"/>
      <x:c r="N69" s="33" t="str"/>
      <x:c r="O69" s="32" t="str"/>
      <x:c r="P69" s="33" t="str"/>
      <x:c r="Q69" s="32" t="str"/>
      <x:c r="R69" s="33" t="str"/>
      <x:c r="S69" s="32" t="str"/>
      <x:c r="T69" s="33" t="str"/>
      <x:c r="U69" s="32" t="str"/>
      <x:c r="V69" s="33" t="str"/>
      <x:c r="W69" s="32" t="str"/>
      <x:c r="X69" s="33" t="str"/>
      <x:c r="Y69" s="32" t="str"/>
      <x:c r="Z69" s="33" t="str"/>
      <x:c r="AA69" s="36" t="str">
        <x:f>TRIM(IF(K69="","A ","")&amp;IF(M69="","B ","")&amp;IF(O69="","C ","")&amp;IF(Q69="","H ","")&amp;IF(S69="","K ","")&amp;IF(U69="","D ","")&amp;IF(W69="","E ","")&amp;IF(Y69="","F",""))</x:f>
        <x:v>A B C H K D E F</x:v>
      </x:c>
      <x:c r="AB69" s="32" t="str"/>
      <x:c r="AC69" s="32" t="str"/>
      <x:c r="AD69" s="32" t="str"/>
      <x:c r="AE69" s="32" t="str"/>
      <x:c r="AF69" s="32" t="str"/>
      <x:c r="AG69" s="32" t="str"/>
      <x:c r="AH69" s="34" t="str"/>
      <x:c r="AI69" s="34" t="str">
        <x:v>Interface constructeur</x:v>
      </x:c>
      <x:c r="AJ69" s="34" t="str"/>
      <x:c r="AK69" s="34" t="str"/>
      <x:c r="AL69" s="34" t="str">
        <x:v>Les cotes IEC autonomes ne s’appliquent pas ; voir la feuille Interfaces intégrées.</x:v>
      </x:c>
      <x:c r="AM69" s="35" t="str">
        <x:v>bonfiglioli:me2sb:j-0p0011400000000000002-m-10p6</x:v>
      </x:c>
    </x:row>
    <x:row r="70">
      <x:c r="A70" s="31" t="str">
        <x:v>Non applicable</x:v>
      </x:c>
      <x:c r="B70" s="31" t="str">
        <x:v>ME</x:v>
      </x:c>
      <x:c r="C70" s="31" t="str">
        <x:v>ME 2SB</x:v>
      </x:c>
      <x:c r="D70" s="31" t="str">
        <x:v>j-0p0028-m-12p2</x:v>
      </x:c>
      <x:c r="E70" s="31" t="str">
        <x:v>4</x:v>
      </x:c>
      <x:c r="F70" s="31" t="str">
        <x:v>asynchronous</x:v>
      </x:c>
      <x:c r="G70" s="31"/>
      <x:c r="H70" s="32" t="str"/>
      <x:c r="I70" s="32" t="str">
        <x:v>Catalogue_BONFIGLIOLI_Moteur.pdf p.96</x:v>
      </x:c>
      <x:c r="J70" s="32" t="str">
        <x:v>Catalogue_BONFIGLIOLI_Moteur.pdf p.90-97 ; interface intégrée</x:v>
      </x:c>
      <x:c r="K70" s="32" t="str"/>
      <x:c r="L70" s="33" t="str"/>
      <x:c r="M70" s="32" t="str"/>
      <x:c r="N70" s="33" t="str"/>
      <x:c r="O70" s="32" t="str"/>
      <x:c r="P70" s="33" t="str"/>
      <x:c r="Q70" s="32" t="str"/>
      <x:c r="R70" s="33" t="str"/>
      <x:c r="S70" s="32" t="str"/>
      <x:c r="T70" s="33" t="str"/>
      <x:c r="U70" s="32" t="str"/>
      <x:c r="V70" s="33" t="str"/>
      <x:c r="W70" s="32" t="str"/>
      <x:c r="X70" s="33" t="str"/>
      <x:c r="Y70" s="32" t="str"/>
      <x:c r="Z70" s="33" t="str"/>
      <x:c r="AA70" s="36" t="str">
        <x:f>TRIM(IF(K70="","A ","")&amp;IF(M70="","B ","")&amp;IF(O70="","C ","")&amp;IF(Q70="","H ","")&amp;IF(S70="","K ","")&amp;IF(U70="","D ","")&amp;IF(W70="","E ","")&amp;IF(Y70="","F",""))</x:f>
        <x:v>A B C H K D E F</x:v>
      </x:c>
      <x:c r="AB70" s="32" t="str"/>
      <x:c r="AC70" s="32" t="str"/>
      <x:c r="AD70" s="32" t="str"/>
      <x:c r="AE70" s="32" t="str"/>
      <x:c r="AF70" s="32" t="str"/>
      <x:c r="AG70" s="32" t="str"/>
      <x:c r="AH70" s="34" t="str"/>
      <x:c r="AI70" s="34" t="str">
        <x:v>Interface constructeur</x:v>
      </x:c>
      <x:c r="AJ70" s="34" t="str"/>
      <x:c r="AK70" s="34" t="str"/>
      <x:c r="AL70" s="34" t="str">
        <x:v>Les cotes IEC autonomes ne s’appliquent pas ; voir la feuille Interfaces intégrées.</x:v>
      </x:c>
      <x:c r="AM70" s="35" t="str">
        <x:v>bonfiglioli:me2sb:j-0p0028-m-12p2</x:v>
      </x:c>
    </x:row>
    <x:row r="71">
      <x:c r="A71" s="31" t="str">
        <x:v>Non applicable</x:v>
      </x:c>
      <x:c r="B71" s="31" t="str">
        <x:v>ME</x:v>
      </x:c>
      <x:c r="C71" s="31" t="str">
        <x:v>ME 3LA</x:v>
      </x:c>
      <x:c r="D71" s="31" t="str">
        <x:v>j-0p0031000000000000003-m-18p7</x:v>
      </x:c>
      <x:c r="E71" s="31" t="str">
        <x:v>2</x:v>
      </x:c>
      <x:c r="F71" s="31" t="str">
        <x:v>asynchronous</x:v>
      </x:c>
      <x:c r="G71" s="31"/>
      <x:c r="H71" s="32" t="str"/>
      <x:c r="I71" s="32" t="str">
        <x:v>Catalogue_BONFIGLIOLI_Moteur.pdf p.96</x:v>
      </x:c>
      <x:c r="J71" s="32" t="str">
        <x:v>Catalogue_BONFIGLIOLI_Moteur.pdf p.90-97 ; interface intégrée</x:v>
      </x:c>
      <x:c r="K71" s="32" t="str"/>
      <x:c r="L71" s="33" t="str"/>
      <x:c r="M71" s="32" t="str"/>
      <x:c r="N71" s="33" t="str"/>
      <x:c r="O71" s="32" t="str"/>
      <x:c r="P71" s="33" t="str"/>
      <x:c r="Q71" s="32" t="str"/>
      <x:c r="R71" s="33" t="str"/>
      <x:c r="S71" s="32" t="str"/>
      <x:c r="T71" s="33" t="str"/>
      <x:c r="U71" s="32" t="str"/>
      <x:c r="V71" s="33" t="str"/>
      <x:c r="W71" s="32" t="str"/>
      <x:c r="X71" s="33" t="str"/>
      <x:c r="Y71" s="32" t="str"/>
      <x:c r="Z71" s="33" t="str"/>
      <x:c r="AA71" s="36" t="str">
        <x:f>TRIM(IF(K71="","A ","")&amp;IF(M71="","B ","")&amp;IF(O71="","C ","")&amp;IF(Q71="","H ","")&amp;IF(S71="","K ","")&amp;IF(U71="","D ","")&amp;IF(W71="","E ","")&amp;IF(Y71="","F",""))</x:f>
        <x:v>A B C H K D E F</x:v>
      </x:c>
      <x:c r="AB71" s="32" t="str"/>
      <x:c r="AC71" s="32" t="str"/>
      <x:c r="AD71" s="32" t="str"/>
      <x:c r="AE71" s="32" t="str"/>
      <x:c r="AF71" s="32" t="str"/>
      <x:c r="AG71" s="32" t="str"/>
      <x:c r="AH71" s="34" t="str"/>
      <x:c r="AI71" s="34" t="str">
        <x:v>Interface constructeur</x:v>
      </x:c>
      <x:c r="AJ71" s="34" t="str"/>
      <x:c r="AK71" s="34" t="str"/>
      <x:c r="AL71" s="34" t="str">
        <x:v>Les cotes IEC autonomes ne s’appliquent pas ; voir la feuille Interfaces intégrées.</x:v>
      </x:c>
      <x:c r="AM71" s="35" t="str">
        <x:v>bonfiglioli:me3la:j-0p0031000000000000003-m-18p7</x:v>
      </x:c>
    </x:row>
    <x:row r="72">
      <x:c r="A72" s="31" t="str">
        <x:v>Non applicable</x:v>
      </x:c>
      <x:c r="B72" s="31" t="str">
        <x:v>ME</x:v>
      </x:c>
      <x:c r="C72" s="31" t="str">
        <x:v>ME 3LA</x:v>
      </x:c>
      <x:c r="D72" s="31" t="str">
        <x:v>j-0p0054-m-21</x:v>
      </x:c>
      <x:c r="E72" s="31" t="str">
        <x:v>4</x:v>
      </x:c>
      <x:c r="F72" s="31" t="str">
        <x:v>asynchronous</x:v>
      </x:c>
      <x:c r="G72" s="31"/>
      <x:c r="H72" s="32" t="str"/>
      <x:c r="I72" s="32" t="str">
        <x:v>Catalogue_BONFIGLIOLI_Moteur.pdf p.96</x:v>
      </x:c>
      <x:c r="J72" s="32" t="str">
        <x:v>Catalogue_BONFIGLIOLI_Moteur.pdf p.90-97 ; interface intégrée</x:v>
      </x:c>
      <x:c r="K72" s="32" t="str"/>
      <x:c r="L72" s="33" t="str"/>
      <x:c r="M72" s="32" t="str"/>
      <x:c r="N72" s="33" t="str"/>
      <x:c r="O72" s="32" t="str"/>
      <x:c r="P72" s="33" t="str"/>
      <x:c r="Q72" s="32" t="str"/>
      <x:c r="R72" s="33" t="str"/>
      <x:c r="S72" s="32" t="str"/>
      <x:c r="T72" s="33" t="str"/>
      <x:c r="U72" s="32" t="str"/>
      <x:c r="V72" s="33" t="str"/>
      <x:c r="W72" s="32" t="str"/>
      <x:c r="X72" s="33" t="str"/>
      <x:c r="Y72" s="32" t="str"/>
      <x:c r="Z72" s="33" t="str"/>
      <x:c r="AA72" s="36" t="str">
        <x:f>TRIM(IF(K72="","A ","")&amp;IF(M72="","B ","")&amp;IF(O72="","C ","")&amp;IF(Q72="","H ","")&amp;IF(S72="","K ","")&amp;IF(U72="","D ","")&amp;IF(W72="","E ","")&amp;IF(Y72="","F",""))</x:f>
        <x:v>A B C H K D E F</x:v>
      </x:c>
      <x:c r="AB72" s="32" t="str"/>
      <x:c r="AC72" s="32" t="str"/>
      <x:c r="AD72" s="32" t="str"/>
      <x:c r="AE72" s="32" t="str"/>
      <x:c r="AF72" s="32" t="str"/>
      <x:c r="AG72" s="32" t="str"/>
      <x:c r="AH72" s="34" t="str"/>
      <x:c r="AI72" s="34" t="str">
        <x:v>Interface constructeur</x:v>
      </x:c>
      <x:c r="AJ72" s="34" t="str"/>
      <x:c r="AK72" s="34" t="str"/>
      <x:c r="AL72" s="34" t="str">
        <x:v>Les cotes IEC autonomes ne s’appliquent pas ; voir la feuille Interfaces intégrées.</x:v>
      </x:c>
      <x:c r="AM72" s="35" t="str">
        <x:v>bonfiglioli:me3la:j-0p0054-m-21</x:v>
      </x:c>
    </x:row>
    <x:row r="73">
      <x:c r="A73" s="31" t="str">
        <x:v>Non applicable</x:v>
      </x:c>
      <x:c r="B73" s="31" t="str">
        <x:v>ME</x:v>
      </x:c>
      <x:c r="C73" s="31" t="str">
        <x:v>ME 3LA</x:v>
      </x:c>
      <x:c r="D73" s="31" t="str">
        <x:v>j-0p0082-m-21</x:v>
      </x:c>
      <x:c r="E73" s="31" t="str">
        <x:v>6</x:v>
      </x:c>
      <x:c r="F73" s="31" t="str">
        <x:v>asynchronous</x:v>
      </x:c>
      <x:c r="G73" s="31"/>
      <x:c r="H73" s="32" t="str"/>
      <x:c r="I73" s="32" t="str">
        <x:v>Catalogue_BONFIGLIOLI_Moteur.pdf p.96</x:v>
      </x:c>
      <x:c r="J73" s="32" t="str">
        <x:v>Catalogue_BONFIGLIOLI_Moteur.pdf p.90-97 ; interface intégrée</x:v>
      </x:c>
      <x:c r="K73" s="32" t="str"/>
      <x:c r="L73" s="33" t="str"/>
      <x:c r="M73" s="32" t="str"/>
      <x:c r="N73" s="33" t="str"/>
      <x:c r="O73" s="32" t="str"/>
      <x:c r="P73" s="33" t="str"/>
      <x:c r="Q73" s="32" t="str"/>
      <x:c r="R73" s="33" t="str"/>
      <x:c r="S73" s="32" t="str"/>
      <x:c r="T73" s="33" t="str"/>
      <x:c r="U73" s="32" t="str"/>
      <x:c r="V73" s="33" t="str"/>
      <x:c r="W73" s="32" t="str"/>
      <x:c r="X73" s="33" t="str"/>
      <x:c r="Y73" s="32" t="str"/>
      <x:c r="Z73" s="33" t="str"/>
      <x:c r="AA73" s="36" t="str">
        <x:f>TRIM(IF(K73="","A ","")&amp;IF(M73="","B ","")&amp;IF(O73="","C ","")&amp;IF(Q73="","H ","")&amp;IF(S73="","K ","")&amp;IF(U73="","D ","")&amp;IF(W73="","E ","")&amp;IF(Y73="","F",""))</x:f>
        <x:v>A B C H K D E F</x:v>
      </x:c>
      <x:c r="AB73" s="32" t="str"/>
      <x:c r="AC73" s="32" t="str"/>
      <x:c r="AD73" s="32" t="str"/>
      <x:c r="AE73" s="32" t="str"/>
      <x:c r="AF73" s="32" t="str"/>
      <x:c r="AG73" s="32" t="str"/>
      <x:c r="AH73" s="34" t="str"/>
      <x:c r="AI73" s="34" t="str">
        <x:v>Interface constructeur</x:v>
      </x:c>
      <x:c r="AJ73" s="34" t="str"/>
      <x:c r="AK73" s="34" t="str"/>
      <x:c r="AL73" s="34" t="str">
        <x:v>Les cotes IEC autonomes ne s’appliquent pas ; voir la feuille Interfaces intégrées.</x:v>
      </x:c>
      <x:c r="AM73" s="35" t="str">
        <x:v>bonfiglioli:me3la:j-0p0082-m-21</x:v>
      </x:c>
    </x:row>
    <x:row r="74">
      <x:c r="A74" s="31" t="str">
        <x:v>Non applicable</x:v>
      </x:c>
      <x:c r="B74" s="31" t="str">
        <x:v>ME</x:v>
      </x:c>
      <x:c r="C74" s="31" t="str">
        <x:v>ME 3LB</x:v>
      </x:c>
      <x:c r="D74" s="31" t="str">
        <x:v>j-0p0039000000000000003-m-22</x:v>
      </x:c>
      <x:c r="E74" s="31" t="str">
        <x:v>2</x:v>
      </x:c>
      <x:c r="F74" s="31" t="str">
        <x:v>asynchronous</x:v>
      </x:c>
      <x:c r="G74" s="31"/>
      <x:c r="H74" s="32" t="str"/>
      <x:c r="I74" s="32" t="str">
        <x:v>Catalogue_BONFIGLIOLI_Moteur.pdf p.96</x:v>
      </x:c>
      <x:c r="J74" s="32" t="str">
        <x:v>Catalogue_BONFIGLIOLI_Moteur.pdf p.90-97 ; interface intégrée</x:v>
      </x:c>
      <x:c r="K74" s="32" t="str"/>
      <x:c r="L74" s="33" t="str"/>
      <x:c r="M74" s="32" t="str"/>
      <x:c r="N74" s="33" t="str"/>
      <x:c r="O74" s="32" t="str"/>
      <x:c r="P74" s="33" t="str"/>
      <x:c r="Q74" s="32" t="str"/>
      <x:c r="R74" s="33" t="str"/>
      <x:c r="S74" s="32" t="str"/>
      <x:c r="T74" s="33" t="str"/>
      <x:c r="U74" s="32" t="str"/>
      <x:c r="V74" s="33" t="str"/>
      <x:c r="W74" s="32" t="str"/>
      <x:c r="X74" s="33" t="str"/>
      <x:c r="Y74" s="32" t="str"/>
      <x:c r="Z74" s="33" t="str"/>
      <x:c r="AA74" s="36" t="str">
        <x:f>TRIM(IF(K74="","A ","")&amp;IF(M74="","B ","")&amp;IF(O74="","C ","")&amp;IF(Q74="","H ","")&amp;IF(S74="","K ","")&amp;IF(U74="","D ","")&amp;IF(W74="","E ","")&amp;IF(Y74="","F",""))</x:f>
        <x:v>A B C H K D E F</x:v>
      </x:c>
      <x:c r="AB74" s="32" t="str"/>
      <x:c r="AC74" s="32" t="str"/>
      <x:c r="AD74" s="32" t="str"/>
      <x:c r="AE74" s="32" t="str"/>
      <x:c r="AF74" s="32" t="str"/>
      <x:c r="AG74" s="32" t="str"/>
      <x:c r="AH74" s="34" t="str"/>
      <x:c r="AI74" s="34" t="str">
        <x:v>Interface constructeur</x:v>
      </x:c>
      <x:c r="AJ74" s="34" t="str"/>
      <x:c r="AK74" s="34" t="str"/>
      <x:c r="AL74" s="34" t="str">
        <x:v>Les cotes IEC autonomes ne s’appliquent pas ; voir la feuille Interfaces intégrées.</x:v>
      </x:c>
      <x:c r="AM74" s="35" t="str">
        <x:v>bonfiglioli:me3lb:j-0p0039000000000000003-m-22</x:v>
      </x:c>
    </x:row>
    <x:row r="75">
      <x:c r="A75" s="31" t="str">
        <x:v>Non applicable</x:v>
      </x:c>
      <x:c r="B75" s="31" t="str">
        <x:v>ME</x:v>
      </x:c>
      <x:c r="C75" s="31" t="str">
        <x:v>ME 3LB</x:v>
      </x:c>
      <x:c r="D75" s="31" t="str">
        <x:v>j-0p0061-m-23</x:v>
      </x:c>
      <x:c r="E75" s="31" t="str">
        <x:v>4</x:v>
      </x:c>
      <x:c r="F75" s="31" t="str">
        <x:v>asynchronous</x:v>
      </x:c>
      <x:c r="G75" s="31"/>
      <x:c r="H75" s="32" t="str"/>
      <x:c r="I75" s="32" t="str">
        <x:v>Catalogue_BONFIGLIOLI_Moteur.pdf p.96</x:v>
      </x:c>
      <x:c r="J75" s="32" t="str">
        <x:v>Catalogue_BONFIGLIOLI_Moteur.pdf p.90-97 ; interface intégrée</x:v>
      </x:c>
      <x:c r="K75" s="32" t="str"/>
      <x:c r="L75" s="33" t="str"/>
      <x:c r="M75" s="32" t="str"/>
      <x:c r="N75" s="33" t="str"/>
      <x:c r="O75" s="32" t="str"/>
      <x:c r="P75" s="33" t="str"/>
      <x:c r="Q75" s="32" t="str"/>
      <x:c r="R75" s="33" t="str"/>
      <x:c r="S75" s="32" t="str"/>
      <x:c r="T75" s="33" t="str"/>
      <x:c r="U75" s="32" t="str"/>
      <x:c r="V75" s="33" t="str"/>
      <x:c r="W75" s="32" t="str"/>
      <x:c r="X75" s="33" t="str"/>
      <x:c r="Y75" s="32" t="str"/>
      <x:c r="Z75" s="33" t="str"/>
      <x:c r="AA75" s="36" t="str">
        <x:f>TRIM(IF(K75="","A ","")&amp;IF(M75="","B ","")&amp;IF(O75="","C ","")&amp;IF(Q75="","H ","")&amp;IF(S75="","K ","")&amp;IF(U75="","D ","")&amp;IF(W75="","E ","")&amp;IF(Y75="","F",""))</x:f>
        <x:v>A B C H K D E F</x:v>
      </x:c>
      <x:c r="AB75" s="32" t="str"/>
      <x:c r="AC75" s="32" t="str"/>
      <x:c r="AD75" s="32" t="str"/>
      <x:c r="AE75" s="32" t="str"/>
      <x:c r="AF75" s="32" t="str"/>
      <x:c r="AG75" s="32" t="str"/>
      <x:c r="AH75" s="34" t="str"/>
      <x:c r="AI75" s="34" t="str">
        <x:v>Interface constructeur</x:v>
      </x:c>
      <x:c r="AJ75" s="34" t="str"/>
      <x:c r="AK75" s="34" t="str"/>
      <x:c r="AL75" s="34" t="str">
        <x:v>Les cotes IEC autonomes ne s’appliquent pas ; voir la feuille Interfaces intégrées.</x:v>
      </x:c>
      <x:c r="AM75" s="35" t="str">
        <x:v>bonfiglioli:me3lb:j-0p0061-m-23</x:v>
      </x:c>
    </x:row>
    <x:row r="76">
      <x:c r="A76" s="31" t="str">
        <x:v>Non applicable</x:v>
      </x:c>
      <x:c r="B76" s="31" t="str">
        <x:v>ME</x:v>
      </x:c>
      <x:c r="C76" s="31" t="str">
        <x:v>ME 3LB</x:v>
      </x:c>
      <x:c r="D76" s="31" t="str">
        <x:v>j-0p0095-m-23</x:v>
      </x:c>
      <x:c r="E76" s="31" t="str">
        <x:v>6</x:v>
      </x:c>
      <x:c r="F76" s="31" t="str">
        <x:v>asynchronous</x:v>
      </x:c>
      <x:c r="G76" s="31"/>
      <x:c r="H76" s="32" t="str"/>
      <x:c r="I76" s="32" t="str">
        <x:v>Catalogue_BONFIGLIOLI_Moteur.pdf p.96</x:v>
      </x:c>
      <x:c r="J76" s="32" t="str">
        <x:v>Catalogue_BONFIGLIOLI_Moteur.pdf p.90-97 ; interface intégrée</x:v>
      </x:c>
      <x:c r="K76" s="32" t="str"/>
      <x:c r="L76" s="33" t="str"/>
      <x:c r="M76" s="32" t="str"/>
      <x:c r="N76" s="33" t="str"/>
      <x:c r="O76" s="32" t="str"/>
      <x:c r="P76" s="33" t="str"/>
      <x:c r="Q76" s="32" t="str"/>
      <x:c r="R76" s="33" t="str"/>
      <x:c r="S76" s="32" t="str"/>
      <x:c r="T76" s="33" t="str"/>
      <x:c r="U76" s="32" t="str"/>
      <x:c r="V76" s="33" t="str"/>
      <x:c r="W76" s="32" t="str"/>
      <x:c r="X76" s="33" t="str"/>
      <x:c r="Y76" s="32" t="str"/>
      <x:c r="Z76" s="33" t="str"/>
      <x:c r="AA76" s="36" t="str">
        <x:f>TRIM(IF(K76="","A ","")&amp;IF(M76="","B ","")&amp;IF(O76="","C ","")&amp;IF(Q76="","H ","")&amp;IF(S76="","K ","")&amp;IF(U76="","D ","")&amp;IF(W76="","E ","")&amp;IF(Y76="","F",""))</x:f>
        <x:v>A B C H K D E F</x:v>
      </x:c>
      <x:c r="AB76" s="32" t="str"/>
      <x:c r="AC76" s="32" t="str"/>
      <x:c r="AD76" s="32" t="str"/>
      <x:c r="AE76" s="32" t="str"/>
      <x:c r="AF76" s="32" t="str"/>
      <x:c r="AG76" s="32" t="str"/>
      <x:c r="AH76" s="34" t="str"/>
      <x:c r="AI76" s="34" t="str">
        <x:v>Interface constructeur</x:v>
      </x:c>
      <x:c r="AJ76" s="34" t="str"/>
      <x:c r="AK76" s="34" t="str"/>
      <x:c r="AL76" s="34" t="str">
        <x:v>Les cotes IEC autonomes ne s’appliquent pas ; voir la feuille Interfaces intégrées.</x:v>
      </x:c>
      <x:c r="AM76" s="35" t="str">
        <x:v>bonfiglioli:me3lb:j-0p0095-m-23</x:v>
      </x:c>
    </x:row>
    <x:row r="77">
      <x:c r="A77" s="31" t="str">
        <x:v>Non applicable</x:v>
      </x:c>
      <x:c r="B77" s="31" t="str">
        <x:v>ME</x:v>
      </x:c>
      <x:c r="C77" s="31" t="str">
        <x:v>ME 3SA</x:v>
      </x:c>
      <x:c r="D77" s="31" t="str">
        <x:v>j-0p0024000000000000002-m-15p5</x:v>
      </x:c>
      <x:c r="E77" s="31" t="str">
        <x:v>2</x:v>
      </x:c>
      <x:c r="F77" s="31" t="str">
        <x:v>asynchronous</x:v>
      </x:c>
      <x:c r="G77" s="31"/>
      <x:c r="H77" s="32" t="str"/>
      <x:c r="I77" s="32" t="str">
        <x:v>Catalogue_BONFIGLIOLI_Moteur.pdf p.96</x:v>
      </x:c>
      <x:c r="J77" s="32" t="str">
        <x:v>Catalogue_BONFIGLIOLI_Moteur.pdf p.90-97 ; interface intégrée</x:v>
      </x:c>
      <x:c r="K77" s="32" t="str"/>
      <x:c r="L77" s="33" t="str"/>
      <x:c r="M77" s="32" t="str"/>
      <x:c r="N77" s="33" t="str"/>
      <x:c r="O77" s="32" t="str"/>
      <x:c r="P77" s="33" t="str"/>
      <x:c r="Q77" s="32" t="str"/>
      <x:c r="R77" s="33" t="str"/>
      <x:c r="S77" s="32" t="str"/>
      <x:c r="T77" s="33" t="str"/>
      <x:c r="U77" s="32" t="str"/>
      <x:c r="V77" s="33" t="str"/>
      <x:c r="W77" s="32" t="str"/>
      <x:c r="X77" s="33" t="str"/>
      <x:c r="Y77" s="32" t="str"/>
      <x:c r="Z77" s="33" t="str"/>
      <x:c r="AA77" s="36" t="str">
        <x:f>TRIM(IF(K77="","A ","")&amp;IF(M77="","B ","")&amp;IF(O77="","C ","")&amp;IF(Q77="","H ","")&amp;IF(S77="","K ","")&amp;IF(U77="","D ","")&amp;IF(W77="","E ","")&amp;IF(Y77="","F",""))</x:f>
        <x:v>A B C H K D E F</x:v>
      </x:c>
      <x:c r="AB77" s="32" t="str"/>
      <x:c r="AC77" s="32" t="str"/>
      <x:c r="AD77" s="32" t="str"/>
      <x:c r="AE77" s="32" t="str"/>
      <x:c r="AF77" s="32" t="str"/>
      <x:c r="AG77" s="32" t="str"/>
      <x:c r="AH77" s="34" t="str"/>
      <x:c r="AI77" s="34" t="str">
        <x:v>Interface constructeur</x:v>
      </x:c>
      <x:c r="AJ77" s="34" t="str"/>
      <x:c r="AK77" s="34" t="str"/>
      <x:c r="AL77" s="34" t="str">
        <x:v>Les cotes IEC autonomes ne s’appliquent pas ; voir la feuille Interfaces intégrées.</x:v>
      </x:c>
      <x:c r="AM77" s="35" t="str">
        <x:v>bonfiglioli:me3sa:j-0p0024000000000000002-m-15p5</x:v>
      </x:c>
    </x:row>
    <x:row r="78">
      <x:c r="A78" s="31" t="str">
        <x:v>Non applicable</x:v>
      </x:c>
      <x:c r="B78" s="31" t="str">
        <x:v>ME</x:v>
      </x:c>
      <x:c r="C78" s="31" t="str">
        <x:v>ME 3SA</x:v>
      </x:c>
      <x:c r="D78" s="31" t="str">
        <x:v>j-0p0033-m-17</x:v>
      </x:c>
      <x:c r="E78" s="31" t="str">
        <x:v>6</x:v>
      </x:c>
      <x:c r="F78" s="31" t="str">
        <x:v>asynchronous</x:v>
      </x:c>
      <x:c r="G78" s="31"/>
      <x:c r="H78" s="32" t="str"/>
      <x:c r="I78" s="32" t="str">
        <x:v>Catalogue_BONFIGLIOLI_Moteur.pdf p.96</x:v>
      </x:c>
      <x:c r="J78" s="32" t="str">
        <x:v>Catalogue_BONFIGLIOLI_Moteur.pdf p.90-97 ; interface intégrée</x:v>
      </x:c>
      <x:c r="K78" s="32" t="str"/>
      <x:c r="L78" s="33" t="str"/>
      <x:c r="M78" s="32" t="str"/>
      <x:c r="N78" s="33" t="str"/>
      <x:c r="O78" s="32" t="str"/>
      <x:c r="P78" s="33" t="str"/>
      <x:c r="Q78" s="32" t="str"/>
      <x:c r="R78" s="33" t="str"/>
      <x:c r="S78" s="32" t="str"/>
      <x:c r="T78" s="33" t="str"/>
      <x:c r="U78" s="32" t="str"/>
      <x:c r="V78" s="33" t="str"/>
      <x:c r="W78" s="32" t="str"/>
      <x:c r="X78" s="33" t="str"/>
      <x:c r="Y78" s="32" t="str"/>
      <x:c r="Z78" s="33" t="str"/>
      <x:c r="AA78" s="36" t="str">
        <x:f>TRIM(IF(K78="","A ","")&amp;IF(M78="","B ","")&amp;IF(O78="","C ","")&amp;IF(Q78="","H ","")&amp;IF(S78="","K ","")&amp;IF(U78="","D ","")&amp;IF(W78="","E ","")&amp;IF(Y78="","F",""))</x:f>
        <x:v>A B C H K D E F</x:v>
      </x:c>
      <x:c r="AB78" s="32" t="str"/>
      <x:c r="AC78" s="32" t="str"/>
      <x:c r="AD78" s="32" t="str"/>
      <x:c r="AE78" s="32" t="str"/>
      <x:c r="AF78" s="32" t="str"/>
      <x:c r="AG78" s="32" t="str"/>
      <x:c r="AH78" s="34" t="str"/>
      <x:c r="AI78" s="34" t="str">
        <x:v>Interface constructeur</x:v>
      </x:c>
      <x:c r="AJ78" s="34" t="str"/>
      <x:c r="AK78" s="34" t="str"/>
      <x:c r="AL78" s="34" t="str">
        <x:v>Les cotes IEC autonomes ne s’appliquent pas ; voir la feuille Interfaces intégrées.</x:v>
      </x:c>
      <x:c r="AM78" s="35" t="str">
        <x:v>bonfiglioli:me3sa:j-0p0033-m-17</x:v>
      </x:c>
    </x:row>
    <x:row r="79">
      <x:c r="A79" s="31" t="str">
        <x:v>Non applicable</x:v>
      </x:c>
      <x:c r="B79" s="31" t="str">
        <x:v>ME</x:v>
      </x:c>
      <x:c r="C79" s="31" t="str">
        <x:v>ME 3SA</x:v>
      </x:c>
      <x:c r="D79" s="31" t="str">
        <x:v>j-0p0034000000000000002-m-15p5</x:v>
      </x:c>
      <x:c r="E79" s="31" t="str">
        <x:v>4</x:v>
      </x:c>
      <x:c r="F79" s="31" t="str">
        <x:v>asynchronous</x:v>
      </x:c>
      <x:c r="G79" s="31"/>
      <x:c r="H79" s="32" t="str"/>
      <x:c r="I79" s="32" t="str">
        <x:v>Catalogue_BONFIGLIOLI_Moteur.pdf p.96</x:v>
      </x:c>
      <x:c r="J79" s="32" t="str">
        <x:v>Catalogue_BONFIGLIOLI_Moteur.pdf p.90-97 ; interface intégrée</x:v>
      </x:c>
      <x:c r="K79" s="32" t="str"/>
      <x:c r="L79" s="33" t="str"/>
      <x:c r="M79" s="32" t="str"/>
      <x:c r="N79" s="33" t="str"/>
      <x:c r="O79" s="32" t="str"/>
      <x:c r="P79" s="33" t="str"/>
      <x:c r="Q79" s="32" t="str"/>
      <x:c r="R79" s="33" t="str"/>
      <x:c r="S79" s="32" t="str"/>
      <x:c r="T79" s="33" t="str"/>
      <x:c r="U79" s="32" t="str"/>
      <x:c r="V79" s="33" t="str"/>
      <x:c r="W79" s="32" t="str"/>
      <x:c r="X79" s="33" t="str"/>
      <x:c r="Y79" s="32" t="str"/>
      <x:c r="Z79" s="33" t="str"/>
      <x:c r="AA79" s="36" t="str">
        <x:f>TRIM(IF(K79="","A ","")&amp;IF(M79="","B ","")&amp;IF(O79="","C ","")&amp;IF(Q79="","H ","")&amp;IF(S79="","K ","")&amp;IF(U79="","D ","")&amp;IF(W79="","E ","")&amp;IF(Y79="","F",""))</x:f>
        <x:v>A B C H K D E F</x:v>
      </x:c>
      <x:c r="AB79" s="32" t="str"/>
      <x:c r="AC79" s="32" t="str"/>
      <x:c r="AD79" s="32" t="str"/>
      <x:c r="AE79" s="32" t="str"/>
      <x:c r="AF79" s="32" t="str"/>
      <x:c r="AG79" s="32" t="str"/>
      <x:c r="AH79" s="34" t="str"/>
      <x:c r="AI79" s="34" t="str">
        <x:v>Interface constructeur</x:v>
      </x:c>
      <x:c r="AJ79" s="34" t="str"/>
      <x:c r="AK79" s="34" t="str"/>
      <x:c r="AL79" s="34" t="str">
        <x:v>Les cotes IEC autonomes ne s’appliquent pas ; voir la feuille Interfaces intégrées.</x:v>
      </x:c>
      <x:c r="AM79" s="35" t="str">
        <x:v>bonfiglioli:me3sa:j-0p0034000000000000002-m-15p5</x:v>
      </x:c>
    </x:row>
    <x:row r="80">
      <x:c r="A80" s="31" t="str">
        <x:v>Non applicable</x:v>
      </x:c>
      <x:c r="B80" s="31" t="str">
        <x:v>ME</x:v>
      </x:c>
      <x:c r="C80" s="31" t="str">
        <x:v>ME 3SB</x:v>
      </x:c>
      <x:c r="D80" s="31" t="str">
        <x:v>j-0p004-m-17</x:v>
      </x:c>
      <x:c r="E80" s="31" t="str">
        <x:v>4</x:v>
      </x:c>
      <x:c r="F80" s="31" t="str">
        <x:v>asynchronous</x:v>
      </x:c>
      <x:c r="G80" s="31"/>
      <x:c r="H80" s="32" t="str"/>
      <x:c r="I80" s="32" t="str">
        <x:v>Catalogue_BONFIGLIOLI_Moteur.pdf p.96</x:v>
      </x:c>
      <x:c r="J80" s="32" t="str">
        <x:v>Catalogue_BONFIGLIOLI_Moteur.pdf p.90-97 ; interface intégrée</x:v>
      </x:c>
      <x:c r="K80" s="32" t="str"/>
      <x:c r="L80" s="33" t="str"/>
      <x:c r="M80" s="32" t="str"/>
      <x:c r="N80" s="33" t="str"/>
      <x:c r="O80" s="32" t="str"/>
      <x:c r="P80" s="33" t="str"/>
      <x:c r="Q80" s="32" t="str"/>
      <x:c r="R80" s="33" t="str"/>
      <x:c r="S80" s="32" t="str"/>
      <x:c r="T80" s="33" t="str"/>
      <x:c r="U80" s="32" t="str"/>
      <x:c r="V80" s="33" t="str"/>
      <x:c r="W80" s="32" t="str"/>
      <x:c r="X80" s="33" t="str"/>
      <x:c r="Y80" s="32" t="str"/>
      <x:c r="Z80" s="33" t="str"/>
      <x:c r="AA80" s="36" t="str">
        <x:f>TRIM(IF(K80="","A ","")&amp;IF(M80="","B ","")&amp;IF(O80="","C ","")&amp;IF(Q80="","H ","")&amp;IF(S80="","K ","")&amp;IF(U80="","D ","")&amp;IF(W80="","E ","")&amp;IF(Y80="","F",""))</x:f>
        <x:v>A B C H K D E F</x:v>
      </x:c>
      <x:c r="AB80" s="32" t="str"/>
      <x:c r="AC80" s="32" t="str"/>
      <x:c r="AD80" s="32" t="str"/>
      <x:c r="AE80" s="32" t="str"/>
      <x:c r="AF80" s="32" t="str"/>
      <x:c r="AG80" s="32" t="str"/>
      <x:c r="AH80" s="34" t="str"/>
      <x:c r="AI80" s="34" t="str">
        <x:v>Interface constructeur</x:v>
      </x:c>
      <x:c r="AJ80" s="34" t="str"/>
      <x:c r="AK80" s="34" t="str"/>
      <x:c r="AL80" s="34" t="str">
        <x:v>Les cotes IEC autonomes ne s’appliquent pas ; voir la feuille Interfaces intégrées.</x:v>
      </x:c>
      <x:c r="AM80" s="35" t="str">
        <x:v>bonfiglioli:me3sb:j-0p004-m-17</x:v>
      </x:c>
    </x:row>
    <x:row r="81">
      <x:c r="A81" s="31" t="str">
        <x:v>Non applicable</x:v>
      </x:c>
      <x:c r="B81" s="31" t="str">
        <x:v>ME</x:v>
      </x:c>
      <x:c r="C81" s="31" t="str">
        <x:v>ME 4LA</x:v>
      </x:c>
      <x:c r="D81" s="31" t="str">
        <x:v>j-0p0178-m-51</x:v>
      </x:c>
      <x:c r="E81" s="31" t="str">
        <x:v>2</x:v>
      </x:c>
      <x:c r="F81" s="31" t="str">
        <x:v>asynchronous</x:v>
      </x:c>
      <x:c r="G81" s="31"/>
      <x:c r="H81" s="32" t="str"/>
      <x:c r="I81" s="32" t="str">
        <x:v>Catalogue_BONFIGLIOLI_Moteur.pdf p.97</x:v>
      </x:c>
      <x:c r="J81" s="32" t="str">
        <x:v>Catalogue_BONFIGLIOLI_Moteur.pdf p.90-97 ; interface intégrée</x:v>
      </x:c>
      <x:c r="K81" s="32" t="str"/>
      <x:c r="L81" s="33" t="str"/>
      <x:c r="M81" s="32" t="str"/>
      <x:c r="N81" s="33" t="str"/>
      <x:c r="O81" s="32" t="str"/>
      <x:c r="P81" s="33" t="str"/>
      <x:c r="Q81" s="32" t="str"/>
      <x:c r="R81" s="33" t="str"/>
      <x:c r="S81" s="32" t="str"/>
      <x:c r="T81" s="33" t="str"/>
      <x:c r="U81" s="32" t="str"/>
      <x:c r="V81" s="33" t="str"/>
      <x:c r="W81" s="32" t="str"/>
      <x:c r="X81" s="33" t="str"/>
      <x:c r="Y81" s="32" t="str"/>
      <x:c r="Z81" s="33" t="str"/>
      <x:c r="AA81" s="36" t="str">
        <x:f>TRIM(IF(K81="","A ","")&amp;IF(M81="","B ","")&amp;IF(O81="","C ","")&amp;IF(Q81="","H ","")&amp;IF(S81="","K ","")&amp;IF(U81="","D ","")&amp;IF(W81="","E ","")&amp;IF(Y81="","F",""))</x:f>
        <x:v>A B C H K D E F</x:v>
      </x:c>
      <x:c r="AB81" s="32" t="str"/>
      <x:c r="AC81" s="32" t="str"/>
      <x:c r="AD81" s="32" t="str"/>
      <x:c r="AE81" s="32" t="str"/>
      <x:c r="AF81" s="32" t="str"/>
      <x:c r="AG81" s="32" t="str"/>
      <x:c r="AH81" s="34" t="str"/>
      <x:c r="AI81" s="34" t="str">
        <x:v>Interface constructeur</x:v>
      </x:c>
      <x:c r="AJ81" s="34" t="str"/>
      <x:c r="AK81" s="34" t="str"/>
      <x:c r="AL81" s="34" t="str">
        <x:v>Les cotes IEC autonomes ne s’appliquent pas ; voir la feuille Interfaces intégrées.</x:v>
      </x:c>
      <x:c r="AM81" s="35" t="str">
        <x:v>bonfiglioli:me4la:j-0p0178-m-51</x:v>
      </x:c>
    </x:row>
    <x:row r="82">
      <x:c r="A82" s="31" t="str">
        <x:v>Non applicable</x:v>
      </x:c>
      <x:c r="B82" s="31" t="str">
        <x:v>ME</x:v>
      </x:c>
      <x:c r="C82" s="31" t="str">
        <x:v>ME 4LA</x:v>
      </x:c>
      <x:c r="D82" s="31" t="str">
        <x:v>j-0p031900000000000005-m-57</x:v>
      </x:c>
      <x:c r="E82" s="31" t="str">
        <x:v>4</x:v>
      </x:c>
      <x:c r="F82" s="31" t="str">
        <x:v>asynchronous</x:v>
      </x:c>
      <x:c r="G82" s="31"/>
      <x:c r="H82" s="32" t="str"/>
      <x:c r="I82" s="32" t="str">
        <x:v>Catalogue_BONFIGLIOLI_Moteur.pdf p.97</x:v>
      </x:c>
      <x:c r="J82" s="32" t="str">
        <x:v>Catalogue_BONFIGLIOLI_Moteur.pdf p.90-97 ; interface intégrée</x:v>
      </x:c>
      <x:c r="K82" s="32" t="str"/>
      <x:c r="L82" s="33" t="str"/>
      <x:c r="M82" s="32" t="str"/>
      <x:c r="N82" s="33" t="str"/>
      <x:c r="O82" s="32" t="str"/>
      <x:c r="P82" s="33" t="str"/>
      <x:c r="Q82" s="32" t="str"/>
      <x:c r="R82" s="33" t="str"/>
      <x:c r="S82" s="32" t="str"/>
      <x:c r="T82" s="33" t="str"/>
      <x:c r="U82" s="32" t="str"/>
      <x:c r="V82" s="33" t="str"/>
      <x:c r="W82" s="32" t="str"/>
      <x:c r="X82" s="33" t="str"/>
      <x:c r="Y82" s="32" t="str"/>
      <x:c r="Z82" s="33" t="str"/>
      <x:c r="AA82" s="36" t="str">
        <x:f>TRIM(IF(K82="","A ","")&amp;IF(M82="","B ","")&amp;IF(O82="","C ","")&amp;IF(Q82="","H ","")&amp;IF(S82="","K ","")&amp;IF(U82="","D ","")&amp;IF(W82="","E ","")&amp;IF(Y82="","F",""))</x:f>
        <x:v>A B C H K D E F</x:v>
      </x:c>
      <x:c r="AB82" s="32" t="str"/>
      <x:c r="AC82" s="32" t="str"/>
      <x:c r="AD82" s="32" t="str"/>
      <x:c r="AE82" s="32" t="str"/>
      <x:c r="AF82" s="32" t="str"/>
      <x:c r="AG82" s="32" t="str"/>
      <x:c r="AH82" s="34" t="str"/>
      <x:c r="AI82" s="34" t="str">
        <x:v>Interface constructeur</x:v>
      </x:c>
      <x:c r="AJ82" s="34" t="str"/>
      <x:c r="AK82" s="34" t="str"/>
      <x:c r="AL82" s="34" t="str">
        <x:v>Les cotes IEC autonomes ne s’appliquent pas ; voir la feuille Interfaces intégrées.</x:v>
      </x:c>
      <x:c r="AM82" s="35" t="str">
        <x:v>bonfiglioli:me4la:j-0p031900000000000005-m-57</x:v>
      </x:c>
    </x:row>
    <x:row r="83">
      <x:c r="A83" s="31" t="str">
        <x:v>Non applicable</x:v>
      </x:c>
      <x:c r="B83" s="31" t="str">
        <x:v>ME</x:v>
      </x:c>
      <x:c r="C83" s="31" t="str">
        <x:v>ME 4LA</x:v>
      </x:c>
      <x:c r="D83" s="31" t="str">
        <x:v>j-0p0383-m-54</x:v>
      </x:c>
      <x:c r="E83" s="31" t="str">
        <x:v>6</x:v>
      </x:c>
      <x:c r="F83" s="31" t="str">
        <x:v>asynchronous</x:v>
      </x:c>
      <x:c r="G83" s="31"/>
      <x:c r="H83" s="32" t="str"/>
      <x:c r="I83" s="32" t="str">
        <x:v>Catalogue_BONFIGLIOLI_Moteur.pdf p.97</x:v>
      </x:c>
      <x:c r="J83" s="32" t="str">
        <x:v>Catalogue_BONFIGLIOLI_Moteur.pdf p.90-97 ; interface intégrée</x:v>
      </x:c>
      <x:c r="K83" s="32" t="str"/>
      <x:c r="L83" s="33" t="str"/>
      <x:c r="M83" s="32" t="str"/>
      <x:c r="N83" s="33" t="str"/>
      <x:c r="O83" s="32" t="str"/>
      <x:c r="P83" s="33" t="str"/>
      <x:c r="Q83" s="32" t="str"/>
      <x:c r="R83" s="33" t="str"/>
      <x:c r="S83" s="32" t="str"/>
      <x:c r="T83" s="33" t="str"/>
      <x:c r="U83" s="32" t="str"/>
      <x:c r="V83" s="33" t="str"/>
      <x:c r="W83" s="32" t="str"/>
      <x:c r="X83" s="33" t="str"/>
      <x:c r="Y83" s="32" t="str"/>
      <x:c r="Z83" s="33" t="str"/>
      <x:c r="AA83" s="36" t="str">
        <x:f>TRIM(IF(K83="","A ","")&amp;IF(M83="","B ","")&amp;IF(O83="","C ","")&amp;IF(Q83="","H ","")&amp;IF(S83="","K ","")&amp;IF(U83="","D ","")&amp;IF(W83="","E ","")&amp;IF(Y83="","F",""))</x:f>
        <x:v>A B C H K D E F</x:v>
      </x:c>
      <x:c r="AB83" s="32" t="str"/>
      <x:c r="AC83" s="32" t="str"/>
      <x:c r="AD83" s="32" t="str"/>
      <x:c r="AE83" s="32" t="str"/>
      <x:c r="AF83" s="32" t="str"/>
      <x:c r="AG83" s="32" t="str"/>
      <x:c r="AH83" s="34" t="str"/>
      <x:c r="AI83" s="34" t="str">
        <x:v>Interface constructeur</x:v>
      </x:c>
      <x:c r="AJ83" s="34" t="str"/>
      <x:c r="AK83" s="34" t="str"/>
      <x:c r="AL83" s="34" t="str">
        <x:v>Les cotes IEC autonomes ne s’appliquent pas ; voir la feuille Interfaces intégrées.</x:v>
      </x:c>
      <x:c r="AM83" s="35" t="str">
        <x:v>bonfiglioli:me4la:j-0p0383-m-54</x:v>
      </x:c>
    </x:row>
    <x:row r="84">
      <x:c r="A84" s="31" t="str">
        <x:v>Non applicable</x:v>
      </x:c>
      <x:c r="B84" s="31" t="str">
        <x:v>ME</x:v>
      </x:c>
      <x:c r="C84" s="31" t="str">
        <x:v>ME 4LB</x:v>
      </x:c>
      <x:c r="D84" s="31" t="str">
        <x:v>j-0p021-m-60</x:v>
      </x:c>
      <x:c r="E84" s="31" t="str">
        <x:v>2</x:v>
      </x:c>
      <x:c r="F84" s="31" t="str">
        <x:v>asynchronous</x:v>
      </x:c>
      <x:c r="G84" s="31"/>
      <x:c r="H84" s="32" t="str"/>
      <x:c r="I84" s="32" t="str">
        <x:v>Catalogue_BONFIGLIOLI_Moteur.pdf p.96</x:v>
      </x:c>
      <x:c r="J84" s="32" t="str">
        <x:v>Catalogue_BONFIGLIOLI_Moteur.pdf p.90-97 ; interface intégrée</x:v>
      </x:c>
      <x:c r="K84" s="32" t="str"/>
      <x:c r="L84" s="33" t="str"/>
      <x:c r="M84" s="32" t="str"/>
      <x:c r="N84" s="33" t="str"/>
      <x:c r="O84" s="32" t="str"/>
      <x:c r="P84" s="33" t="str"/>
      <x:c r="Q84" s="32" t="str"/>
      <x:c r="R84" s="33" t="str"/>
      <x:c r="S84" s="32" t="str"/>
      <x:c r="T84" s="33" t="str"/>
      <x:c r="U84" s="32" t="str"/>
      <x:c r="V84" s="33" t="str"/>
      <x:c r="W84" s="32" t="str"/>
      <x:c r="X84" s="33" t="str"/>
      <x:c r="Y84" s="32" t="str"/>
      <x:c r="Z84" s="33" t="str"/>
      <x:c r="AA84" s="36" t="str">
        <x:f>TRIM(IF(K84="","A ","")&amp;IF(M84="","B ","")&amp;IF(O84="","C ","")&amp;IF(Q84="","H ","")&amp;IF(S84="","K ","")&amp;IF(U84="","D ","")&amp;IF(W84="","E ","")&amp;IF(Y84="","F",""))</x:f>
        <x:v>A B C H K D E F</x:v>
      </x:c>
      <x:c r="AB84" s="32" t="str"/>
      <x:c r="AC84" s="32" t="str"/>
      <x:c r="AD84" s="32" t="str"/>
      <x:c r="AE84" s="32" t="str"/>
      <x:c r="AF84" s="32" t="str"/>
      <x:c r="AG84" s="32" t="str"/>
      <x:c r="AH84" s="34" t="str"/>
      <x:c r="AI84" s="34" t="str">
        <x:v>Interface constructeur</x:v>
      </x:c>
      <x:c r="AJ84" s="34" t="str"/>
      <x:c r="AK84" s="34" t="str"/>
      <x:c r="AL84" s="34" t="str">
        <x:v>Les cotes IEC autonomes ne s’appliquent pas ; voir la feuille Interfaces intégrées.</x:v>
      </x:c>
      <x:c r="AM84" s="35" t="str">
        <x:v>bonfiglioli:me4lb:j-0p021-m-60</x:v>
      </x:c>
    </x:row>
    <x:row r="85">
      <x:c r="A85" s="31" t="str">
        <x:v>Non applicable</x:v>
      </x:c>
      <x:c r="B85" s="31" t="str">
        <x:v>ME</x:v>
      </x:c>
      <x:c r="C85" s="31" t="str">
        <x:v>ME 4LB</x:v>
      </x:c>
      <x:c r="D85" s="31" t="str">
        <x:v>j-0p036000000000000004-m-65</x:v>
      </x:c>
      <x:c r="E85" s="31" t="str">
        <x:v>4</x:v>
      </x:c>
      <x:c r="F85" s="31" t="str">
        <x:v>asynchronous</x:v>
      </x:c>
      <x:c r="G85" s="31"/>
      <x:c r="H85" s="32" t="str"/>
      <x:c r="I85" s="32" t="str">
        <x:v>Catalogue_BONFIGLIOLI_Moteur.pdf p.96</x:v>
      </x:c>
      <x:c r="J85" s="32" t="str">
        <x:v>Catalogue_BONFIGLIOLI_Moteur.pdf p.90-97 ; interface intégrée</x:v>
      </x:c>
      <x:c r="K85" s="32" t="str"/>
      <x:c r="L85" s="33" t="str"/>
      <x:c r="M85" s="32" t="str"/>
      <x:c r="N85" s="33" t="str"/>
      <x:c r="O85" s="32" t="str"/>
      <x:c r="P85" s="33" t="str"/>
      <x:c r="Q85" s="32" t="str"/>
      <x:c r="R85" s="33" t="str"/>
      <x:c r="S85" s="32" t="str"/>
      <x:c r="T85" s="33" t="str"/>
      <x:c r="U85" s="32" t="str"/>
      <x:c r="V85" s="33" t="str"/>
      <x:c r="W85" s="32" t="str"/>
      <x:c r="X85" s="33" t="str"/>
      <x:c r="Y85" s="32" t="str"/>
      <x:c r="Z85" s="33" t="str"/>
      <x:c r="AA85" s="36" t="str">
        <x:f>TRIM(IF(K85="","A ","")&amp;IF(M85="","B ","")&amp;IF(O85="","C ","")&amp;IF(Q85="","H ","")&amp;IF(S85="","K ","")&amp;IF(U85="","D ","")&amp;IF(W85="","E ","")&amp;IF(Y85="","F",""))</x:f>
        <x:v>A B C H K D E F</x:v>
      </x:c>
      <x:c r="AB85" s="32" t="str"/>
      <x:c r="AC85" s="32" t="str"/>
      <x:c r="AD85" s="32" t="str"/>
      <x:c r="AE85" s="32" t="str"/>
      <x:c r="AF85" s="32" t="str"/>
      <x:c r="AG85" s="32" t="str"/>
      <x:c r="AH85" s="34" t="str"/>
      <x:c r="AI85" s="34" t="str">
        <x:v>Interface constructeur</x:v>
      </x:c>
      <x:c r="AJ85" s="34" t="str"/>
      <x:c r="AK85" s="34" t="str"/>
      <x:c r="AL85" s="34" t="str">
        <x:v>Les cotes IEC autonomes ne s’appliquent pas ; voir la feuille Interfaces intégrées.</x:v>
      </x:c>
      <x:c r="AM85" s="35" t="str">
        <x:v>bonfiglioli:me4lb:j-0p036000000000000004-m-65</x:v>
      </x:c>
    </x:row>
    <x:row r="86">
      <x:c r="A86" s="31" t="str">
        <x:v>Non applicable</x:v>
      </x:c>
      <x:c r="B86" s="31" t="str">
        <x:v>ME</x:v>
      </x:c>
      <x:c r="C86" s="31" t="str">
        <x:v>ME 4SA</x:v>
      </x:c>
      <x:c r="D86" s="31" t="str">
        <x:v>j-0p010100000000000001-m-33</x:v>
      </x:c>
      <x:c r="E86" s="31" t="str">
        <x:v>2</x:v>
      </x:c>
      <x:c r="F86" s="31" t="str">
        <x:v>asynchronous</x:v>
      </x:c>
      <x:c r="G86" s="31"/>
      <x:c r="H86" s="32" t="str"/>
      <x:c r="I86" s="32" t="str">
        <x:v>Catalogue_BONFIGLIOLI_Moteur.pdf p.96</x:v>
      </x:c>
      <x:c r="J86" s="32" t="str">
        <x:v>Catalogue_BONFIGLIOLI_Moteur.pdf p.90-97 ; interface intégrée</x:v>
      </x:c>
      <x:c r="K86" s="32" t="str"/>
      <x:c r="L86" s="33" t="str"/>
      <x:c r="M86" s="32" t="str"/>
      <x:c r="N86" s="33" t="str"/>
      <x:c r="O86" s="32" t="str"/>
      <x:c r="P86" s="33" t="str"/>
      <x:c r="Q86" s="32" t="str"/>
      <x:c r="R86" s="33" t="str"/>
      <x:c r="S86" s="32" t="str"/>
      <x:c r="T86" s="33" t="str"/>
      <x:c r="U86" s="32" t="str"/>
      <x:c r="V86" s="33" t="str"/>
      <x:c r="W86" s="32" t="str"/>
      <x:c r="X86" s="33" t="str"/>
      <x:c r="Y86" s="32" t="str"/>
      <x:c r="Z86" s="33" t="str"/>
      <x:c r="AA86" s="36" t="str">
        <x:f>TRIM(IF(K86="","A ","")&amp;IF(M86="","B ","")&amp;IF(O86="","C ","")&amp;IF(Q86="","H ","")&amp;IF(S86="","K ","")&amp;IF(U86="","D ","")&amp;IF(W86="","E ","")&amp;IF(Y86="","F",""))</x:f>
        <x:v>A B C H K D E F</x:v>
      </x:c>
      <x:c r="AB86" s="32" t="str"/>
      <x:c r="AC86" s="32" t="str"/>
      <x:c r="AD86" s="32" t="str"/>
      <x:c r="AE86" s="32" t="str"/>
      <x:c r="AF86" s="32" t="str"/>
      <x:c r="AG86" s="32" t="str"/>
      <x:c r="AH86" s="34" t="str"/>
      <x:c r="AI86" s="34" t="str">
        <x:v>Interface constructeur</x:v>
      </x:c>
      <x:c r="AJ86" s="34" t="str"/>
      <x:c r="AK86" s="34" t="str"/>
      <x:c r="AL86" s="34" t="str">
        <x:v>Les cotes IEC autonomes ne s’appliquent pas ; voir la feuille Interfaces intégrées.</x:v>
      </x:c>
      <x:c r="AM86" s="35" t="str">
        <x:v>bonfiglioli:me4sa:j-0p010100000000000001-m-33</x:v>
      </x:c>
    </x:row>
    <x:row r="87">
      <x:c r="A87" s="31" t="str">
        <x:v>Non applicable</x:v>
      </x:c>
      <x:c r="B87" s="31" t="str">
        <x:v>ME</x:v>
      </x:c>
      <x:c r="C87" s="31" t="str">
        <x:v>ME 4SA</x:v>
      </x:c>
      <x:c r="D87" s="31" t="str">
        <x:v>j-0p0213-m-42</x:v>
      </x:c>
      <x:c r="E87" s="31" t="str">
        <x:v>4</x:v>
      </x:c>
      <x:c r="F87" s="31" t="str">
        <x:v>asynchronous</x:v>
      </x:c>
      <x:c r="G87" s="31"/>
      <x:c r="H87" s="32" t="str"/>
      <x:c r="I87" s="32" t="str">
        <x:v>Catalogue_BONFIGLIOLI_Moteur.pdf p.96</x:v>
      </x:c>
      <x:c r="J87" s="32" t="str">
        <x:v>Catalogue_BONFIGLIOLI_Moteur.pdf p.90-97 ; interface intégrée</x:v>
      </x:c>
      <x:c r="K87" s="32" t="str"/>
      <x:c r="L87" s="33" t="str"/>
      <x:c r="M87" s="32" t="str"/>
      <x:c r="N87" s="33" t="str"/>
      <x:c r="O87" s="32" t="str"/>
      <x:c r="P87" s="33" t="str"/>
      <x:c r="Q87" s="32" t="str"/>
      <x:c r="R87" s="33" t="str"/>
      <x:c r="S87" s="32" t="str"/>
      <x:c r="T87" s="33" t="str"/>
      <x:c r="U87" s="32" t="str"/>
      <x:c r="V87" s="33" t="str"/>
      <x:c r="W87" s="32" t="str"/>
      <x:c r="X87" s="33" t="str"/>
      <x:c r="Y87" s="32" t="str"/>
      <x:c r="Z87" s="33" t="str"/>
      <x:c r="AA87" s="36" t="str">
        <x:f>TRIM(IF(K87="","A ","")&amp;IF(M87="","B ","")&amp;IF(O87="","C ","")&amp;IF(Q87="","H ","")&amp;IF(S87="","K ","")&amp;IF(U87="","D ","")&amp;IF(W87="","E ","")&amp;IF(Y87="","F",""))</x:f>
        <x:v>A B C H K D E F</x:v>
      </x:c>
      <x:c r="AB87" s="32" t="str"/>
      <x:c r="AC87" s="32" t="str"/>
      <x:c r="AD87" s="32" t="str"/>
      <x:c r="AE87" s="32" t="str"/>
      <x:c r="AF87" s="32" t="str"/>
      <x:c r="AG87" s="32" t="str"/>
      <x:c r="AH87" s="34" t="str"/>
      <x:c r="AI87" s="34" t="str">
        <x:v>Interface constructeur</x:v>
      </x:c>
      <x:c r="AJ87" s="34" t="str"/>
      <x:c r="AK87" s="34" t="str"/>
      <x:c r="AL87" s="34" t="str">
        <x:v>Les cotes IEC autonomes ne s’appliquent pas ; voir la feuille Interfaces intégrées.</x:v>
      </x:c>
      <x:c r="AM87" s="35" t="str">
        <x:v>bonfiglioli:me4sa:j-0p0213-m-42</x:v>
      </x:c>
    </x:row>
    <x:row r="88">
      <x:c r="A88" s="31" t="str">
        <x:v>Non applicable</x:v>
      </x:c>
      <x:c r="B88" s="31" t="str">
        <x:v>ME</x:v>
      </x:c>
      <x:c r="C88" s="31" t="str">
        <x:v>ME 4SA</x:v>
      </x:c>
      <x:c r="D88" s="31" t="str">
        <x:v>j-0p0216-m-34</x:v>
      </x:c>
      <x:c r="E88" s="31" t="str">
        <x:v>6</x:v>
      </x:c>
      <x:c r="F88" s="31" t="str">
        <x:v>asynchronous</x:v>
      </x:c>
      <x:c r="G88" s="31"/>
      <x:c r="H88" s="32" t="str"/>
      <x:c r="I88" s="32" t="str">
        <x:v>Catalogue_BONFIGLIOLI_Moteur.pdf p.96</x:v>
      </x:c>
      <x:c r="J88" s="32" t="str">
        <x:v>Catalogue_BONFIGLIOLI_Moteur.pdf p.90-97 ; interface intégrée</x:v>
      </x:c>
      <x:c r="K88" s="32" t="str"/>
      <x:c r="L88" s="33" t="str"/>
      <x:c r="M88" s="32" t="str"/>
      <x:c r="N88" s="33" t="str"/>
      <x:c r="O88" s="32" t="str"/>
      <x:c r="P88" s="33" t="str"/>
      <x:c r="Q88" s="32" t="str"/>
      <x:c r="R88" s="33" t="str"/>
      <x:c r="S88" s="32" t="str"/>
      <x:c r="T88" s="33" t="str"/>
      <x:c r="U88" s="32" t="str"/>
      <x:c r="V88" s="33" t="str"/>
      <x:c r="W88" s="32" t="str"/>
      <x:c r="X88" s="33" t="str"/>
      <x:c r="Y88" s="32" t="str"/>
      <x:c r="Z88" s="33" t="str"/>
      <x:c r="AA88" s="36" t="str">
        <x:f>TRIM(IF(K88="","A ","")&amp;IF(M88="","B ","")&amp;IF(O88="","C ","")&amp;IF(Q88="","H ","")&amp;IF(S88="","K ","")&amp;IF(U88="","D ","")&amp;IF(W88="","E ","")&amp;IF(Y88="","F",""))</x:f>
        <x:v>A B C H K D E F</x:v>
      </x:c>
      <x:c r="AB88" s="32" t="str"/>
      <x:c r="AC88" s="32" t="str"/>
      <x:c r="AD88" s="32" t="str"/>
      <x:c r="AE88" s="32" t="str"/>
      <x:c r="AF88" s="32" t="str"/>
      <x:c r="AG88" s="32" t="str"/>
      <x:c r="AH88" s="34" t="str"/>
      <x:c r="AI88" s="34" t="str">
        <x:v>Interface constructeur</x:v>
      </x:c>
      <x:c r="AJ88" s="34" t="str"/>
      <x:c r="AK88" s="34" t="str"/>
      <x:c r="AL88" s="34" t="str">
        <x:v>Les cotes IEC autonomes ne s’appliquent pas ; voir la feuille Interfaces intégrées.</x:v>
      </x:c>
      <x:c r="AM88" s="35" t="str">
        <x:v>bonfiglioli:me4sa:j-0p0216-m-34</x:v>
      </x:c>
    </x:row>
    <x:row r="89">
      <x:c r="A89" s="31" t="str">
        <x:v>Non applicable</x:v>
      </x:c>
      <x:c r="B89" s="31" t="str">
        <x:v>ME</x:v>
      </x:c>
      <x:c r="C89" s="31" t="str">
        <x:v>ME 4SB</x:v>
      </x:c>
      <x:c r="D89" s="31" t="str">
        <x:v>j-0p0145-m-40</x:v>
      </x:c>
      <x:c r="E89" s="31" t="str">
        <x:v>2</x:v>
      </x:c>
      <x:c r="F89" s="31" t="str">
        <x:v>asynchronous</x:v>
      </x:c>
      <x:c r="G89" s="31"/>
      <x:c r="H89" s="32" t="str"/>
      <x:c r="I89" s="32" t="str">
        <x:v>Catalogue_BONFIGLIOLI_Moteur.pdf p.96</x:v>
      </x:c>
      <x:c r="J89" s="32" t="str">
        <x:v>Catalogue_BONFIGLIOLI_Moteur.pdf p.90-97 ; interface intégrée</x:v>
      </x:c>
      <x:c r="K89" s="32" t="str"/>
      <x:c r="L89" s="33" t="str"/>
      <x:c r="M89" s="32" t="str"/>
      <x:c r="N89" s="33" t="str"/>
      <x:c r="O89" s="32" t="str"/>
      <x:c r="P89" s="33" t="str"/>
      <x:c r="Q89" s="32" t="str"/>
      <x:c r="R89" s="33" t="str"/>
      <x:c r="S89" s="32" t="str"/>
      <x:c r="T89" s="33" t="str"/>
      <x:c r="U89" s="32" t="str"/>
      <x:c r="V89" s="33" t="str"/>
      <x:c r="W89" s="32" t="str"/>
      <x:c r="X89" s="33" t="str"/>
      <x:c r="Y89" s="32" t="str"/>
      <x:c r="Z89" s="33" t="str"/>
      <x:c r="AA89" s="36" t="str">
        <x:f>TRIM(IF(K89="","A ","")&amp;IF(M89="","B ","")&amp;IF(O89="","C ","")&amp;IF(Q89="","H ","")&amp;IF(S89="","K ","")&amp;IF(U89="","D ","")&amp;IF(W89="","E ","")&amp;IF(Y89="","F",""))</x:f>
        <x:v>A B C H K D E F</x:v>
      </x:c>
      <x:c r="AB89" s="32" t="str"/>
      <x:c r="AC89" s="32" t="str"/>
      <x:c r="AD89" s="32" t="str"/>
      <x:c r="AE89" s="32" t="str"/>
      <x:c r="AF89" s="32" t="str"/>
      <x:c r="AG89" s="32" t="str"/>
      <x:c r="AH89" s="34" t="str"/>
      <x:c r="AI89" s="34" t="str">
        <x:v>Interface constructeur</x:v>
      </x:c>
      <x:c r="AJ89" s="34" t="str"/>
      <x:c r="AK89" s="34" t="str"/>
      <x:c r="AL89" s="34" t="str">
        <x:v>Les cotes IEC autonomes ne s’appliquent pas ; voir la feuille Interfaces intégrées.</x:v>
      </x:c>
      <x:c r="AM89" s="35" t="str">
        <x:v>bonfiglioli:me4sb:j-0p0145-m-40</x:v>
      </x:c>
    </x:row>
    <x:row r="90">
      <x:c r="A90" s="31" t="str">
        <x:v>Non applicable</x:v>
      </x:c>
      <x:c r="B90" s="31" t="str">
        <x:v>ME</x:v>
      </x:c>
      <x:c r="C90" s="31" t="str">
        <x:v>ME 4SB</x:v>
      </x:c>
      <x:c r="D90" s="31" t="str">
        <x:v>j-0p027-m-51</x:v>
      </x:c>
      <x:c r="E90" s="31" t="str">
        <x:v>4</x:v>
      </x:c>
      <x:c r="F90" s="31" t="str">
        <x:v>asynchronous</x:v>
      </x:c>
      <x:c r="G90" s="31"/>
      <x:c r="H90" s="32" t="str"/>
      <x:c r="I90" s="32" t="str">
        <x:v>Catalogue_BONFIGLIOLI_Moteur.pdf p.96</x:v>
      </x:c>
      <x:c r="J90" s="32" t="str">
        <x:v>Catalogue_BONFIGLIOLI_Moteur.pdf p.90-97 ; interface intégrée</x:v>
      </x:c>
      <x:c r="K90" s="32" t="str"/>
      <x:c r="L90" s="33" t="str"/>
      <x:c r="M90" s="32" t="str"/>
      <x:c r="N90" s="33" t="str"/>
      <x:c r="O90" s="32" t="str"/>
      <x:c r="P90" s="33" t="str"/>
      <x:c r="Q90" s="32" t="str"/>
      <x:c r="R90" s="33" t="str"/>
      <x:c r="S90" s="32" t="str"/>
      <x:c r="T90" s="33" t="str"/>
      <x:c r="U90" s="32" t="str"/>
      <x:c r="V90" s="33" t="str"/>
      <x:c r="W90" s="32" t="str"/>
      <x:c r="X90" s="33" t="str"/>
      <x:c r="Y90" s="32" t="str"/>
      <x:c r="Z90" s="33" t="str"/>
      <x:c r="AA90" s="36" t="str">
        <x:f>TRIM(IF(K90="","A ","")&amp;IF(M90="","B ","")&amp;IF(O90="","C ","")&amp;IF(Q90="","H ","")&amp;IF(S90="","K ","")&amp;IF(U90="","D ","")&amp;IF(W90="","E ","")&amp;IF(Y90="","F",""))</x:f>
        <x:v>A B C H K D E F</x:v>
      </x:c>
      <x:c r="AB90" s="32" t="str"/>
      <x:c r="AC90" s="32" t="str"/>
      <x:c r="AD90" s="32" t="str"/>
      <x:c r="AE90" s="32" t="str"/>
      <x:c r="AF90" s="32" t="str"/>
      <x:c r="AG90" s="32" t="str"/>
      <x:c r="AH90" s="34" t="str"/>
      <x:c r="AI90" s="34" t="str">
        <x:v>Interface constructeur</x:v>
      </x:c>
      <x:c r="AJ90" s="34" t="str"/>
      <x:c r="AK90" s="34" t="str"/>
      <x:c r="AL90" s="34" t="str">
        <x:v>Les cotes IEC autonomes ne s’appliquent pas ; voir la feuille Interfaces intégrées.</x:v>
      </x:c>
      <x:c r="AM90" s="35" t="str">
        <x:v>bonfiglioli:me4sb:j-0p027-m-51</x:v>
      </x:c>
    </x:row>
    <x:row r="91">
      <x:c r="A91" s="31" t="str">
        <x:v>Non applicable</x:v>
      </x:c>
      <x:c r="B91" s="31" t="str">
        <x:v>ME</x:v>
      </x:c>
      <x:c r="C91" s="31" t="str">
        <x:v>ME 05A</x:v>
      </x:c>
      <x:c r="D91" s="31" t="str">
        <x:v>j-0p00022999999999999998-m-3p6</x:v>
      </x:c>
      <x:c r="E91" s="31" t="str">
        <x:v>4</x:v>
      </x:c>
      <x:c r="F91" s="31" t="str">
        <x:v>asynchronous</x:v>
      </x:c>
      <x:c r="G91" s="31"/>
      <x:c r="H91" s="32" t="str"/>
      <x:c r="I91" s="32" t="str">
        <x:v>Catalogue_BONFIGLIOLI_Moteur.pdf p.96</x:v>
      </x:c>
      <x:c r="J91" s="32" t="str">
        <x:v>Catalogue_BONFIGLIOLI_Moteur.pdf p.90-97 ; interface intégrée</x:v>
      </x:c>
      <x:c r="K91" s="32" t="str"/>
      <x:c r="L91" s="33" t="str"/>
      <x:c r="M91" s="32" t="str"/>
      <x:c r="N91" s="33" t="str"/>
      <x:c r="O91" s="32" t="str"/>
      <x:c r="P91" s="33" t="str"/>
      <x:c r="Q91" s="32" t="str"/>
      <x:c r="R91" s="33" t="str"/>
      <x:c r="S91" s="32" t="str"/>
      <x:c r="T91" s="33" t="str"/>
      <x:c r="U91" s="32" t="str"/>
      <x:c r="V91" s="33" t="str"/>
      <x:c r="W91" s="32" t="str"/>
      <x:c r="X91" s="33" t="str"/>
      <x:c r="Y91" s="32" t="str"/>
      <x:c r="Z91" s="33" t="str"/>
      <x:c r="AA91" s="36" t="str">
        <x:f>TRIM(IF(K91="","A ","")&amp;IF(M91="","B ","")&amp;IF(O91="","C ","")&amp;IF(Q91="","H ","")&amp;IF(S91="","K ","")&amp;IF(U91="","D ","")&amp;IF(W91="","E ","")&amp;IF(Y91="","F",""))</x:f>
        <x:v>A B C H K D E F</x:v>
      </x:c>
      <x:c r="AB91" s="32" t="str"/>
      <x:c r="AC91" s="32" t="str"/>
      <x:c r="AD91" s="32" t="str"/>
      <x:c r="AE91" s="32" t="str"/>
      <x:c r="AF91" s="32" t="str"/>
      <x:c r="AG91" s="32" t="str"/>
      <x:c r="AH91" s="34" t="str"/>
      <x:c r="AI91" s="34" t="str">
        <x:v>Interface constructeur</x:v>
      </x:c>
      <x:c r="AJ91" s="34" t="str"/>
      <x:c r="AK91" s="34" t="str"/>
      <x:c r="AL91" s="34" t="str">
        <x:v>Les cotes IEC autonomes ne s’appliquent pas ; voir la feuille Interfaces intégrées.</x:v>
      </x:c>
      <x:c r="AM91" s="35" t="str">
        <x:v>bonfiglioli:me05a:j-0p00022999999999999998-m-3p6</x:v>
      </x:c>
    </x:row>
    <x:row r="92">
      <x:c r="A92" s="31" t="str">
        <x:v>Non applicable</x:v>
      </x:c>
      <x:c r="B92" s="31" t="str">
        <x:v>ME</x:v>
      </x:c>
      <x:c r="C92" s="31" t="str">
        <x:v>ME 05B</x:v>
      </x:c>
      <x:c r="D92" s="31" t="str">
        <x:v>j-0p00033-m-4p8</x:v>
      </x:c>
      <x:c r="E92" s="31" t="str">
        <x:v>4</x:v>
      </x:c>
      <x:c r="F92" s="31" t="str">
        <x:v>asynchronous</x:v>
      </x:c>
      <x:c r="G92" s="31"/>
      <x:c r="H92" s="32" t="str"/>
      <x:c r="I92" s="32" t="str">
        <x:v>Catalogue_BONFIGLIOLI_Moteur.pdf p.96</x:v>
      </x:c>
      <x:c r="J92" s="32" t="str">
        <x:v>Catalogue_BONFIGLIOLI_Moteur.pdf p.90-97 ; interface intégrée</x:v>
      </x:c>
      <x:c r="K92" s="32" t="str"/>
      <x:c r="L92" s="33" t="str"/>
      <x:c r="M92" s="32" t="str"/>
      <x:c r="N92" s="33" t="str"/>
      <x:c r="O92" s="32" t="str"/>
      <x:c r="P92" s="33" t="str"/>
      <x:c r="Q92" s="32" t="str"/>
      <x:c r="R92" s="33" t="str"/>
      <x:c r="S92" s="32" t="str"/>
      <x:c r="T92" s="33" t="str"/>
      <x:c r="U92" s="32" t="str"/>
      <x:c r="V92" s="33" t="str"/>
      <x:c r="W92" s="32" t="str"/>
      <x:c r="X92" s="33" t="str"/>
      <x:c r="Y92" s="32" t="str"/>
      <x:c r="Z92" s="33" t="str"/>
      <x:c r="AA92" s="36" t="str">
        <x:f>TRIM(IF(K92="","A ","")&amp;IF(M92="","B ","")&amp;IF(O92="","C ","")&amp;IF(Q92="","H ","")&amp;IF(S92="","K ","")&amp;IF(U92="","D ","")&amp;IF(W92="","E ","")&amp;IF(Y92="","F",""))</x:f>
        <x:v>A B C H K D E F</x:v>
      </x:c>
      <x:c r="AB92" s="32" t="str"/>
      <x:c r="AC92" s="32" t="str"/>
      <x:c r="AD92" s="32" t="str"/>
      <x:c r="AE92" s="32" t="str"/>
      <x:c r="AF92" s="32" t="str"/>
      <x:c r="AG92" s="32" t="str"/>
      <x:c r="AH92" s="34" t="str"/>
      <x:c r="AI92" s="34" t="str">
        <x:v>Interface constructeur</x:v>
      </x:c>
      <x:c r="AJ92" s="34" t="str"/>
      <x:c r="AK92" s="34" t="str"/>
      <x:c r="AL92" s="34" t="str">
        <x:v>Les cotes IEC autonomes ne s’appliquent pas ; voir la feuille Interfaces intégrées.</x:v>
      </x:c>
      <x:c r="AM92" s="35" t="str">
        <x:v>bonfiglioli:me05b:j-0p00033-m-4p8</x:v>
      </x:c>
    </x:row>
    <x:row r="93">
      <x:c r="A93" s="31" t="str">
        <x:v>Non applicable</x:v>
      </x:c>
      <x:c r="B93" s="31" t="str">
        <x:v>ME</x:v>
      </x:c>
      <x:c r="C93" s="31" t="str">
        <x:v>ME 5LA</x:v>
      </x:c>
      <x:c r="D93" s="31" t="str">
        <x:v>j-0p049-m-95</x:v>
      </x:c>
      <x:c r="E93" s="31" t="str">
        <x:v>2</x:v>
      </x:c>
      <x:c r="F93" s="31" t="str">
        <x:v>asynchronous</x:v>
      </x:c>
      <x:c r="G93" s="31"/>
      <x:c r="H93" s="32" t="str"/>
      <x:c r="I93" s="32" t="str">
        <x:v>Catalogue_BONFIGLIOLI_Moteur.pdf p.96</x:v>
      </x:c>
      <x:c r="J93" s="32" t="str">
        <x:v>Catalogue_BONFIGLIOLI_Moteur.pdf p.90-97 ; interface intégrée</x:v>
      </x:c>
      <x:c r="K93" s="32" t="str"/>
      <x:c r="L93" s="33" t="str"/>
      <x:c r="M93" s="32" t="str"/>
      <x:c r="N93" s="33" t="str"/>
      <x:c r="O93" s="32" t="str"/>
      <x:c r="P93" s="33" t="str"/>
      <x:c r="Q93" s="32" t="str"/>
      <x:c r="R93" s="33" t="str"/>
      <x:c r="S93" s="32" t="str"/>
      <x:c r="T93" s="33" t="str"/>
      <x:c r="U93" s="32" t="str"/>
      <x:c r="V93" s="33" t="str"/>
      <x:c r="W93" s="32" t="str"/>
      <x:c r="X93" s="33" t="str"/>
      <x:c r="Y93" s="32" t="str"/>
      <x:c r="Z93" s="33" t="str"/>
      <x:c r="AA93" s="36" t="str">
        <x:f>TRIM(IF(K93="","A ","")&amp;IF(M93="","B ","")&amp;IF(O93="","C ","")&amp;IF(Q93="","H ","")&amp;IF(S93="","K ","")&amp;IF(U93="","D ","")&amp;IF(W93="","E ","")&amp;IF(Y93="","F",""))</x:f>
        <x:v>A B C H K D E F</x:v>
      </x:c>
      <x:c r="AB93" s="32" t="str"/>
      <x:c r="AC93" s="32" t="str"/>
      <x:c r="AD93" s="32" t="str"/>
      <x:c r="AE93" s="32" t="str"/>
      <x:c r="AF93" s="32" t="str"/>
      <x:c r="AG93" s="32" t="str"/>
      <x:c r="AH93" s="34" t="str"/>
      <x:c r="AI93" s="34" t="str">
        <x:v>Interface constructeur</x:v>
      </x:c>
      <x:c r="AJ93" s="34" t="str"/>
      <x:c r="AK93" s="34" t="str"/>
      <x:c r="AL93" s="34" t="str">
        <x:v>Les cotes IEC autonomes ne s’appliquent pas ; voir la feuille Interfaces intégrées.</x:v>
      </x:c>
      <x:c r="AM93" s="35" t="str">
        <x:v>bonfiglioli:me5la:j-0p049-m-95</x:v>
      </x:c>
    </x:row>
    <x:row r="94">
      <x:c r="A94" s="31" t="str">
        <x:v>Non applicable</x:v>
      </x:c>
      <x:c r="B94" s="31" t="str">
        <x:v>ME</x:v>
      </x:c>
      <x:c r="C94" s="31" t="str">
        <x:v>ME 5LA</x:v>
      </x:c>
      <x:c r="D94" s="31" t="str">
        <x:v>j-0p079-m-101</x:v>
      </x:c>
      <x:c r="E94" s="31" t="str">
        <x:v>4</x:v>
      </x:c>
      <x:c r="F94" s="31" t="str">
        <x:v>asynchronous</x:v>
      </x:c>
      <x:c r="G94" s="31"/>
      <x:c r="H94" s="32" t="str"/>
      <x:c r="I94" s="32" t="str">
        <x:v>Catalogue_BONFIGLIOLI_Moteur.pdf p.96</x:v>
      </x:c>
      <x:c r="J94" s="32" t="str">
        <x:v>Catalogue_BONFIGLIOLI_Moteur.pdf p.90-97 ; interface intégrée</x:v>
      </x:c>
      <x:c r="K94" s="32" t="str"/>
      <x:c r="L94" s="33" t="str"/>
      <x:c r="M94" s="32" t="str"/>
      <x:c r="N94" s="33" t="str"/>
      <x:c r="O94" s="32" t="str"/>
      <x:c r="P94" s="33" t="str"/>
      <x:c r="Q94" s="32" t="str"/>
      <x:c r="R94" s="33" t="str"/>
      <x:c r="S94" s="32" t="str"/>
      <x:c r="T94" s="33" t="str"/>
      <x:c r="U94" s="32" t="str"/>
      <x:c r="V94" s="33" t="str"/>
      <x:c r="W94" s="32" t="str"/>
      <x:c r="X94" s="33" t="str"/>
      <x:c r="Y94" s="32" t="str"/>
      <x:c r="Z94" s="33" t="str"/>
      <x:c r="AA94" s="36" t="str">
        <x:f>TRIM(IF(K94="","A ","")&amp;IF(M94="","B ","")&amp;IF(O94="","C ","")&amp;IF(Q94="","H ","")&amp;IF(S94="","K ","")&amp;IF(U94="","D ","")&amp;IF(W94="","E ","")&amp;IF(Y94="","F",""))</x:f>
        <x:v>A B C H K D E F</x:v>
      </x:c>
      <x:c r="AB94" s="32" t="str"/>
      <x:c r="AC94" s="32" t="str"/>
      <x:c r="AD94" s="32" t="str"/>
      <x:c r="AE94" s="32" t="str"/>
      <x:c r="AF94" s="32" t="str"/>
      <x:c r="AG94" s="32" t="str"/>
      <x:c r="AH94" s="34" t="str"/>
      <x:c r="AI94" s="34" t="str">
        <x:v>Interface constructeur</x:v>
      </x:c>
      <x:c r="AJ94" s="34" t="str"/>
      <x:c r="AK94" s="34" t="str"/>
      <x:c r="AL94" s="34" t="str">
        <x:v>Les cotes IEC autonomes ne s’appliquent pas ; voir la feuille Interfaces intégrées.</x:v>
      </x:c>
      <x:c r="AM94" s="35" t="str">
        <x:v>bonfiglioli:me5la:j-0p079-m-101</x:v>
      </x:c>
    </x:row>
    <x:row r="95">
      <x:c r="A95" s="31" t="str">
        <x:v>Non applicable</x:v>
      </x:c>
      <x:c r="B95" s="31" t="str">
        <x:v>ME</x:v>
      </x:c>
      <x:c r="C95" s="31" t="str">
        <x:v>ME 5SA</x:v>
      </x:c>
      <x:c r="D95" s="31" t="str">
        <x:v>j-0p034-m-70</x:v>
      </x:c>
      <x:c r="E95" s="31" t="str">
        <x:v>2</x:v>
      </x:c>
      <x:c r="F95" s="31" t="str">
        <x:v>asynchronous</x:v>
      </x:c>
      <x:c r="G95" s="31"/>
      <x:c r="H95" s="32" t="str"/>
      <x:c r="I95" s="32" t="str">
        <x:v>Catalogue_BONFIGLIOLI_Moteur.pdf p.96</x:v>
      </x:c>
      <x:c r="J95" s="32" t="str">
        <x:v>Catalogue_BONFIGLIOLI_Moteur.pdf p.90-97 ; interface intégrée</x:v>
      </x:c>
      <x:c r="K95" s="32" t="str"/>
      <x:c r="L95" s="33" t="str"/>
      <x:c r="M95" s="32" t="str"/>
      <x:c r="N95" s="33" t="str"/>
      <x:c r="O95" s="32" t="str"/>
      <x:c r="P95" s="33" t="str"/>
      <x:c r="Q95" s="32" t="str"/>
      <x:c r="R95" s="33" t="str"/>
      <x:c r="S95" s="32" t="str"/>
      <x:c r="T95" s="33" t="str"/>
      <x:c r="U95" s="32" t="str"/>
      <x:c r="V95" s="33" t="str"/>
      <x:c r="W95" s="32" t="str"/>
      <x:c r="X95" s="33" t="str"/>
      <x:c r="Y95" s="32" t="str"/>
      <x:c r="Z95" s="33" t="str"/>
      <x:c r="AA95" s="36" t="str">
        <x:f>TRIM(IF(K95="","A ","")&amp;IF(M95="","B ","")&amp;IF(O95="","C ","")&amp;IF(Q95="","H ","")&amp;IF(S95="","K ","")&amp;IF(U95="","D ","")&amp;IF(W95="","E ","")&amp;IF(Y95="","F",""))</x:f>
        <x:v>A B C H K D E F</x:v>
      </x:c>
      <x:c r="AB95" s="32" t="str"/>
      <x:c r="AC95" s="32" t="str"/>
      <x:c r="AD95" s="32" t="str"/>
      <x:c r="AE95" s="32" t="str"/>
      <x:c r="AF95" s="32" t="str"/>
      <x:c r="AG95" s="32" t="str"/>
      <x:c r="AH95" s="34" t="str"/>
      <x:c r="AI95" s="34" t="str">
        <x:v>Interface constructeur</x:v>
      </x:c>
      <x:c r="AJ95" s="34" t="str"/>
      <x:c r="AK95" s="34" t="str"/>
      <x:c r="AL95" s="34" t="str">
        <x:v>Les cotes IEC autonomes ne s’appliquent pas ; voir la feuille Interfaces intégrées.</x:v>
      </x:c>
      <x:c r="AM95" s="35" t="str">
        <x:v>bonfiglioli:me5sa:j-0p034-m-70</x:v>
      </x:c>
    </x:row>
    <x:row r="96">
      <x:c r="A96" s="31" t="str">
        <x:v>Non applicable</x:v>
      </x:c>
      <x:c r="B96" s="31" t="str">
        <x:v>ME</x:v>
      </x:c>
      <x:c r="C96" s="31" t="str">
        <x:v>ME 5SA</x:v>
      </x:c>
      <x:c r="D96" s="31" t="str">
        <x:v>j-0p065-m-85</x:v>
      </x:c>
      <x:c r="E96" s="31" t="str">
        <x:v>4</x:v>
      </x:c>
      <x:c r="F96" s="31" t="str">
        <x:v>asynchronous</x:v>
      </x:c>
      <x:c r="G96" s="31"/>
      <x:c r="H96" s="32" t="str"/>
      <x:c r="I96" s="32" t="str">
        <x:v>Catalogue_BONFIGLIOLI_Moteur.pdf p.96</x:v>
      </x:c>
      <x:c r="J96" s="32" t="str">
        <x:v>Catalogue_BONFIGLIOLI_Moteur.pdf p.90-97 ; interface intégrée</x:v>
      </x:c>
      <x:c r="K96" s="32" t="str"/>
      <x:c r="L96" s="33" t="str"/>
      <x:c r="M96" s="32" t="str"/>
      <x:c r="N96" s="33" t="str"/>
      <x:c r="O96" s="32" t="str"/>
      <x:c r="P96" s="33" t="str"/>
      <x:c r="Q96" s="32" t="str"/>
      <x:c r="R96" s="33" t="str"/>
      <x:c r="S96" s="32" t="str"/>
      <x:c r="T96" s="33" t="str"/>
      <x:c r="U96" s="32" t="str"/>
      <x:c r="V96" s="33" t="str"/>
      <x:c r="W96" s="32" t="str"/>
      <x:c r="X96" s="33" t="str"/>
      <x:c r="Y96" s="32" t="str"/>
      <x:c r="Z96" s="33" t="str"/>
      <x:c r="AA96" s="36" t="str">
        <x:f>TRIM(IF(K96="","A ","")&amp;IF(M96="","B ","")&amp;IF(O96="","C ","")&amp;IF(Q96="","H ","")&amp;IF(S96="","K ","")&amp;IF(U96="","D ","")&amp;IF(W96="","E ","")&amp;IF(Y96="","F",""))</x:f>
        <x:v>A B C H K D E F</x:v>
      </x:c>
      <x:c r="AB96" s="32" t="str"/>
      <x:c r="AC96" s="32" t="str"/>
      <x:c r="AD96" s="32" t="str"/>
      <x:c r="AE96" s="32" t="str"/>
      <x:c r="AF96" s="32" t="str"/>
      <x:c r="AG96" s="32" t="str"/>
      <x:c r="AH96" s="34" t="str"/>
      <x:c r="AI96" s="34" t="str">
        <x:v>Interface constructeur</x:v>
      </x:c>
      <x:c r="AJ96" s="34" t="str"/>
      <x:c r="AK96" s="34" t="str"/>
      <x:c r="AL96" s="34" t="str">
        <x:v>Les cotes IEC autonomes ne s’appliquent pas ; voir la feuille Interfaces intégrées.</x:v>
      </x:c>
      <x:c r="AM96" s="35" t="str">
        <x:v>bonfiglioli:me5sa:j-0p065-m-85</x:v>
      </x:c>
    </x:row>
    <x:row r="97">
      <x:c r="A97" s="31" t="str">
        <x:v>Non applicable</x:v>
      </x:c>
      <x:c r="B97" s="31" t="str">
        <x:v>ME</x:v>
      </x:c>
      <x:c r="C97" s="31" t="str">
        <x:v>ME 5SB</x:v>
      </x:c>
      <x:c r="D97" s="31" t="str">
        <x:v>j-0p042-m-83</x:v>
      </x:c>
      <x:c r="E97" s="31" t="str">
        <x:v>2</x:v>
      </x:c>
      <x:c r="F97" s="31" t="str">
        <x:v>asynchronous</x:v>
      </x:c>
      <x:c r="G97" s="31"/>
      <x:c r="H97" s="32" t="str"/>
      <x:c r="I97" s="32" t="str">
        <x:v>Catalogue_BONFIGLIOLI_Moteur.pdf p.96</x:v>
      </x:c>
      <x:c r="J97" s="32" t="str">
        <x:v>Catalogue_BONFIGLIOLI_Moteur.pdf p.90-97 ; interface intégrée</x:v>
      </x:c>
      <x:c r="K97" s="32" t="str"/>
      <x:c r="L97" s="33" t="str"/>
      <x:c r="M97" s="32" t="str"/>
      <x:c r="N97" s="33" t="str"/>
      <x:c r="O97" s="32" t="str"/>
      <x:c r="P97" s="33" t="str"/>
      <x:c r="Q97" s="32" t="str"/>
      <x:c r="R97" s="33" t="str"/>
      <x:c r="S97" s="32" t="str"/>
      <x:c r="T97" s="33" t="str"/>
      <x:c r="U97" s="32" t="str"/>
      <x:c r="V97" s="33" t="str"/>
      <x:c r="W97" s="32" t="str"/>
      <x:c r="X97" s="33" t="str"/>
      <x:c r="Y97" s="32" t="str"/>
      <x:c r="Z97" s="33" t="str"/>
      <x:c r="AA97" s="36" t="str">
        <x:f>TRIM(IF(K97="","A ","")&amp;IF(M97="","B ","")&amp;IF(O97="","C ","")&amp;IF(Q97="","H ","")&amp;IF(S97="","K ","")&amp;IF(U97="","D ","")&amp;IF(W97="","E ","")&amp;IF(Y97="","F",""))</x:f>
        <x:v>A B C H K D E F</x:v>
      </x:c>
      <x:c r="AB97" s="32" t="str"/>
      <x:c r="AC97" s="32" t="str"/>
      <x:c r="AD97" s="32" t="str"/>
      <x:c r="AE97" s="32" t="str"/>
      <x:c r="AF97" s="32" t="str"/>
      <x:c r="AG97" s="32" t="str"/>
      <x:c r="AH97" s="34" t="str"/>
      <x:c r="AI97" s="34" t="str">
        <x:v>Interface constructeur</x:v>
      </x:c>
      <x:c r="AJ97" s="34" t="str"/>
      <x:c r="AK97" s="34" t="str"/>
      <x:c r="AL97" s="34" t="str">
        <x:v>Les cotes IEC autonomes ne s’appliquent pas ; voir la feuille Interfaces intégrées.</x:v>
      </x:c>
      <x:c r="AM97" s="35" t="str">
        <x:v>bonfiglioli:me5sb:j-0p042-m-83</x:v>
      </x:c>
    </x:row>
    <x:row r="98">
      <x:c r="A98" s="31" t="str">
        <x:v>Non applicable</x:v>
      </x:c>
      <x:c r="B98" s="31" t="str">
        <x:v>MX</x:v>
      </x:c>
      <x:c r="C98" s="31" t="str">
        <x:v>MX 1SA</x:v>
      </x:c>
      <x:c r="D98" s="31" t="str">
        <x:v>j-0p00063-m-5p4</x:v>
      </x:c>
      <x:c r="E98" s="31" t="str">
        <x:v>4</x:v>
      </x:c>
      <x:c r="F98" s="31" t="str">
        <x:v>asynchronous</x:v>
      </x:c>
      <x:c r="G98" s="31"/>
      <x:c r="H98" s="32" t="str"/>
      <x:c r="I98" s="32" t="str">
        <x:v>Catalogue_BONFIGLIOLI_Moteur.pdf p.78</x:v>
      </x:c>
      <x:c r="J98" s="32" t="str">
        <x:v>Catalogue_BONFIGLIOLI_Moteur.pdf p.66-79 ; interface intégrée</x:v>
      </x:c>
      <x:c r="K98" s="32" t="str"/>
      <x:c r="L98" s="33" t="str"/>
      <x:c r="M98" s="32" t="str"/>
      <x:c r="N98" s="33" t="str"/>
      <x:c r="O98" s="32" t="str"/>
      <x:c r="P98" s="33" t="str"/>
      <x:c r="Q98" s="32" t="str"/>
      <x:c r="R98" s="33" t="str"/>
      <x:c r="S98" s="32" t="str"/>
      <x:c r="T98" s="33" t="str"/>
      <x:c r="U98" s="32" t="str"/>
      <x:c r="V98" s="33" t="str"/>
      <x:c r="W98" s="32" t="str"/>
      <x:c r="X98" s="33" t="str"/>
      <x:c r="Y98" s="32" t="str"/>
      <x:c r="Z98" s="33" t="str"/>
      <x:c r="AA98" s="36" t="str">
        <x:f>TRIM(IF(K98="","A ","")&amp;IF(M98="","B ","")&amp;IF(O98="","C ","")&amp;IF(Q98="","H ","")&amp;IF(S98="","K ","")&amp;IF(U98="","D ","")&amp;IF(W98="","E ","")&amp;IF(Y98="","F",""))</x:f>
        <x:v>A B C H K D E F</x:v>
      </x:c>
      <x:c r="AB98" s="32" t="str"/>
      <x:c r="AC98" s="32" t="str"/>
      <x:c r="AD98" s="32" t="str"/>
      <x:c r="AE98" s="32" t="str"/>
      <x:c r="AF98" s="32" t="str"/>
      <x:c r="AG98" s="32" t="str"/>
      <x:c r="AH98" s="34" t="str"/>
      <x:c r="AI98" s="34" t="str">
        <x:v>Interface constructeur</x:v>
      </x:c>
      <x:c r="AJ98" s="34" t="str"/>
      <x:c r="AK98" s="34" t="str"/>
      <x:c r="AL98" s="34" t="str">
        <x:v>Les cotes IEC autonomes ne s’appliquent pas ; voir la feuille Interfaces intégrées.</x:v>
      </x:c>
      <x:c r="AM98" s="35" t="str">
        <x:v>bonfiglioli:mx1sa:j-0p00063-m-5p4</x:v>
      </x:c>
    </x:row>
    <x:row r="99">
      <x:c r="A99" s="31" t="str">
        <x:v>Non applicable</x:v>
      </x:c>
      <x:c r="B99" s="31" t="str">
        <x:v>MX</x:v>
      </x:c>
      <x:c r="C99" s="31" t="str">
        <x:v>MX 1SB</x:v>
      </x:c>
      <x:c r="D99" s="31" t="str">
        <x:v>j-0p001-m-6p9</x:v>
      </x:c>
      <x:c r="E99" s="31" t="str">
        <x:v>4</x:v>
      </x:c>
      <x:c r="F99" s="31" t="str">
        <x:v>asynchronous</x:v>
      </x:c>
      <x:c r="G99" s="31"/>
      <x:c r="H99" s="32" t="str"/>
      <x:c r="I99" s="32" t="str">
        <x:v>Catalogue_BONFIGLIOLI_Moteur.pdf p.78</x:v>
      </x:c>
      <x:c r="J99" s="32" t="str">
        <x:v>Catalogue_BONFIGLIOLI_Moteur.pdf p.66-79 ; interface intégrée</x:v>
      </x:c>
      <x:c r="K99" s="32" t="str"/>
      <x:c r="L99" s="33" t="str"/>
      <x:c r="M99" s="32" t="str"/>
      <x:c r="N99" s="33" t="str"/>
      <x:c r="O99" s="32" t="str"/>
      <x:c r="P99" s="33" t="str"/>
      <x:c r="Q99" s="32" t="str"/>
      <x:c r="R99" s="33" t="str"/>
      <x:c r="S99" s="32" t="str"/>
      <x:c r="T99" s="33" t="str"/>
      <x:c r="U99" s="32" t="str"/>
      <x:c r="V99" s="33" t="str"/>
      <x:c r="W99" s="32" t="str"/>
      <x:c r="X99" s="33" t="str"/>
      <x:c r="Y99" s="32" t="str"/>
      <x:c r="Z99" s="33" t="str"/>
      <x:c r="AA99" s="36" t="str">
        <x:f>TRIM(IF(K99="","A ","")&amp;IF(M99="","B ","")&amp;IF(O99="","C ","")&amp;IF(Q99="","H ","")&amp;IF(S99="","K ","")&amp;IF(U99="","D ","")&amp;IF(W99="","E ","")&amp;IF(Y99="","F",""))</x:f>
        <x:v>A B C H K D E F</x:v>
      </x:c>
      <x:c r="AB99" s="32" t="str"/>
      <x:c r="AC99" s="32" t="str"/>
      <x:c r="AD99" s="32" t="str"/>
      <x:c r="AE99" s="32" t="str"/>
      <x:c r="AF99" s="32" t="str"/>
      <x:c r="AG99" s="32" t="str"/>
      <x:c r="AH99" s="34" t="str"/>
      <x:c r="AI99" s="34" t="str">
        <x:v>Interface constructeur</x:v>
      </x:c>
      <x:c r="AJ99" s="34" t="str"/>
      <x:c r="AK99" s="34" t="str"/>
      <x:c r="AL99" s="34" t="str">
        <x:v>Les cotes IEC autonomes ne s’appliquent pas ; voir la feuille Interfaces intégrées.</x:v>
      </x:c>
      <x:c r="AM99" s="35" t="str">
        <x:v>bonfiglioli:mx1sb:j-0p001-m-6p9</x:v>
      </x:c>
    </x:row>
    <x:row r="100">
      <x:c r="A100" s="31" t="str">
        <x:v>Non applicable</x:v>
      </x:c>
      <x:c r="B100" s="31" t="str">
        <x:v>MX</x:v>
      </x:c>
      <x:c r="C100" s="31" t="str">
        <x:v>MX 2SA</x:v>
      </x:c>
      <x:c r="D100" s="31" t="str">
        <x:v>j-0p0028-m-12p2</x:v>
      </x:c>
      <x:c r="E100" s="31" t="str">
        <x:v>4</x:v>
      </x:c>
      <x:c r="F100" s="31" t="str">
        <x:v>asynchronous</x:v>
      </x:c>
      <x:c r="G100" s="31"/>
      <x:c r="H100" s="32" t="str"/>
      <x:c r="I100" s="32" t="str">
        <x:v>Catalogue_BONFIGLIOLI_Moteur.pdf p.78</x:v>
      </x:c>
      <x:c r="J100" s="32" t="str">
        <x:v>Catalogue_BONFIGLIOLI_Moteur.pdf p.66-79 ; interface intégrée</x:v>
      </x:c>
      <x:c r="K100" s="32" t="str"/>
      <x:c r="L100" s="33" t="str"/>
      <x:c r="M100" s="32" t="str"/>
      <x:c r="N100" s="33" t="str"/>
      <x:c r="O100" s="32" t="str"/>
      <x:c r="P100" s="33" t="str"/>
      <x:c r="Q100" s="32" t="str"/>
      <x:c r="R100" s="33" t="str"/>
      <x:c r="S100" s="32" t="str"/>
      <x:c r="T100" s="33" t="str"/>
      <x:c r="U100" s="32" t="str"/>
      <x:c r="V100" s="33" t="str"/>
      <x:c r="W100" s="32" t="str"/>
      <x:c r="X100" s="33" t="str"/>
      <x:c r="Y100" s="32" t="str"/>
      <x:c r="Z100" s="33" t="str"/>
      <x:c r="AA100" s="36" t="str">
        <x:f>TRIM(IF(K100="","A ","")&amp;IF(M100="","B ","")&amp;IF(O100="","C ","")&amp;IF(Q100="","H ","")&amp;IF(S100="","K ","")&amp;IF(U100="","D ","")&amp;IF(W100="","E ","")&amp;IF(Y100="","F",""))</x:f>
        <x:v>A B C H K D E F</x:v>
      </x:c>
      <x:c r="AB100" s="32" t="str"/>
      <x:c r="AC100" s="32" t="str"/>
      <x:c r="AD100" s="32" t="str"/>
      <x:c r="AE100" s="32" t="str"/>
      <x:c r="AF100" s="32" t="str"/>
      <x:c r="AG100" s="32" t="str"/>
      <x:c r="AH100" s="34" t="str"/>
      <x:c r="AI100" s="34" t="str">
        <x:v>Interface constructeur</x:v>
      </x:c>
      <x:c r="AJ100" s="34" t="str"/>
      <x:c r="AK100" s="34" t="str"/>
      <x:c r="AL100" s="34" t="str">
        <x:v>Les cotes IEC autonomes ne s’appliquent pas ; voir la feuille Interfaces intégrées.</x:v>
      </x:c>
      <x:c r="AM100" s="35" t="str">
        <x:v>bonfiglioli:mx2sa:j-0p0028-m-12p2</x:v>
      </x:c>
    </x:row>
    <x:row r="101">
      <x:c r="A101" s="31" t="str">
        <x:v>Non applicable</x:v>
      </x:c>
      <x:c r="B101" s="31" t="str">
        <x:v>MX</x:v>
      </x:c>
      <x:c r="C101" s="31" t="str">
        <x:v>MX 2SB</x:v>
      </x:c>
      <x:c r="D101" s="31" t="str">
        <x:v>j-0p0027-m-16</x:v>
      </x:c>
      <x:c r="E101" s="31" t="str">
        <x:v>4</x:v>
      </x:c>
      <x:c r="F101" s="31" t="str">
        <x:v>asynchronous</x:v>
      </x:c>
      <x:c r="G101" s="31"/>
      <x:c r="H101" s="32" t="str"/>
      <x:c r="I101" s="32" t="str">
        <x:v>Catalogue_BONFIGLIOLI_Moteur.pdf p.78</x:v>
      </x:c>
      <x:c r="J101" s="32" t="str">
        <x:v>Catalogue_BONFIGLIOLI_Moteur.pdf p.66-79 ; interface intégrée</x:v>
      </x:c>
      <x:c r="K101" s="32" t="str"/>
      <x:c r="L101" s="33" t="str"/>
      <x:c r="M101" s="32" t="str"/>
      <x:c r="N101" s="33" t="str"/>
      <x:c r="O101" s="32" t="str"/>
      <x:c r="P101" s="33" t="str"/>
      <x:c r="Q101" s="32" t="str"/>
      <x:c r="R101" s="33" t="str"/>
      <x:c r="S101" s="32" t="str"/>
      <x:c r="T101" s="33" t="str"/>
      <x:c r="U101" s="32" t="str"/>
      <x:c r="V101" s="33" t="str"/>
      <x:c r="W101" s="32" t="str"/>
      <x:c r="X101" s="33" t="str"/>
      <x:c r="Y101" s="32" t="str"/>
      <x:c r="Z101" s="33" t="str"/>
      <x:c r="AA101" s="36" t="str">
        <x:f>TRIM(IF(K101="","A ","")&amp;IF(M101="","B ","")&amp;IF(O101="","C ","")&amp;IF(Q101="","H ","")&amp;IF(S101="","K ","")&amp;IF(U101="","D ","")&amp;IF(W101="","E ","")&amp;IF(Y101="","F",""))</x:f>
        <x:v>A B C H K D E F</x:v>
      </x:c>
      <x:c r="AB101" s="32" t="str"/>
      <x:c r="AC101" s="32" t="str"/>
      <x:c r="AD101" s="32" t="str"/>
      <x:c r="AE101" s="32" t="str"/>
      <x:c r="AF101" s="32" t="str"/>
      <x:c r="AG101" s="32" t="str"/>
      <x:c r="AH101" s="34" t="str"/>
      <x:c r="AI101" s="34" t="str">
        <x:v>Interface constructeur</x:v>
      </x:c>
      <x:c r="AJ101" s="34" t="str"/>
      <x:c r="AK101" s="34" t="str"/>
      <x:c r="AL101" s="34" t="str">
        <x:v>Les cotes IEC autonomes ne s’appliquent pas ; voir la feuille Interfaces intégrées.</x:v>
      </x:c>
      <x:c r="AM101" s="35" t="str">
        <x:v>bonfiglioli:mx2sb:j-0p0027-m-16</x:v>
      </x:c>
    </x:row>
    <x:row r="102">
      <x:c r="A102" s="31" t="str">
        <x:v>Non applicable</x:v>
      </x:c>
      <x:c r="B102" s="31" t="str">
        <x:v>MX</x:v>
      </x:c>
      <x:c r="C102" s="31" t="str">
        <x:v>MX 2SB</x:v>
      </x:c>
      <x:c r="D102" s="31" t="str">
        <x:v>j-0p0035-m-16</x:v>
      </x:c>
      <x:c r="E102" s="31" t="str">
        <x:v>4</x:v>
      </x:c>
      <x:c r="F102" s="31" t="str">
        <x:v>asynchronous</x:v>
      </x:c>
      <x:c r="G102" s="31"/>
      <x:c r="H102" s="32" t="str"/>
      <x:c r="I102" s="32" t="str">
        <x:v>Catalogue_BONFIGLIOLI_Moteur.pdf p.78</x:v>
      </x:c>
      <x:c r="J102" s="32" t="str">
        <x:v>Catalogue_BONFIGLIOLI_Moteur.pdf p.66-79 ; interface intégrée</x:v>
      </x:c>
      <x:c r="K102" s="32" t="str"/>
      <x:c r="L102" s="33" t="str"/>
      <x:c r="M102" s="32" t="str"/>
      <x:c r="N102" s="33" t="str"/>
      <x:c r="O102" s="32" t="str"/>
      <x:c r="P102" s="33" t="str"/>
      <x:c r="Q102" s="32" t="str"/>
      <x:c r="R102" s="33" t="str"/>
      <x:c r="S102" s="32" t="str"/>
      <x:c r="T102" s="33" t="str"/>
      <x:c r="U102" s="32" t="str"/>
      <x:c r="V102" s="33" t="str"/>
      <x:c r="W102" s="32" t="str"/>
      <x:c r="X102" s="33" t="str"/>
      <x:c r="Y102" s="32" t="str"/>
      <x:c r="Z102" s="33" t="str"/>
      <x:c r="AA102" s="36" t="str">
        <x:f>TRIM(IF(K102="","A ","")&amp;IF(M102="","B ","")&amp;IF(O102="","C ","")&amp;IF(Q102="","H ","")&amp;IF(S102="","K ","")&amp;IF(U102="","D ","")&amp;IF(W102="","E ","")&amp;IF(Y102="","F",""))</x:f>
        <x:v>A B C H K D E F</x:v>
      </x:c>
      <x:c r="AB102" s="32" t="str"/>
      <x:c r="AC102" s="32" t="str"/>
      <x:c r="AD102" s="32" t="str"/>
      <x:c r="AE102" s="32" t="str"/>
      <x:c r="AF102" s="32" t="str"/>
      <x:c r="AG102" s="32" t="str"/>
      <x:c r="AH102" s="34" t="str"/>
      <x:c r="AI102" s="34" t="str">
        <x:v>Interface constructeur</x:v>
      </x:c>
      <x:c r="AJ102" s="34" t="str"/>
      <x:c r="AK102" s="34" t="str"/>
      <x:c r="AL102" s="34" t="str">
        <x:v>Les cotes IEC autonomes ne s’appliquent pas ; voir la feuille Interfaces intégrées.</x:v>
      </x:c>
      <x:c r="AM102" s="35" t="str">
        <x:v>bonfiglioli:mx2sb:j-0p0035-m-16</x:v>
      </x:c>
    </x:row>
    <x:row r="103">
      <x:c r="A103" s="31" t="str">
        <x:v>Non applicable</x:v>
      </x:c>
      <x:c r="B103" s="31" t="str">
        <x:v>MX</x:v>
      </x:c>
      <x:c r="C103" s="31" t="str">
        <x:v>MX 3LA</x:v>
      </x:c>
      <x:c r="D103" s="31" t="str">
        <x:v>j-0p0058000000000000005-m-24</x:v>
      </x:c>
      <x:c r="E103" s="31" t="str">
        <x:v>4</x:v>
      </x:c>
      <x:c r="F103" s="31" t="str">
        <x:v>asynchronous</x:v>
      </x:c>
      <x:c r="G103" s="31"/>
      <x:c r="H103" s="32" t="str"/>
      <x:c r="I103" s="32" t="str">
        <x:v>Catalogue_BONFIGLIOLI_Moteur.pdf p.78</x:v>
      </x:c>
      <x:c r="J103" s="32" t="str">
        <x:v>Catalogue_BONFIGLIOLI_Moteur.pdf p.66-79 ; interface intégrée</x:v>
      </x:c>
      <x:c r="K103" s="32" t="str"/>
      <x:c r="L103" s="33" t="str"/>
      <x:c r="M103" s="32" t="str"/>
      <x:c r="N103" s="33" t="str"/>
      <x:c r="O103" s="32" t="str"/>
      <x:c r="P103" s="33" t="str"/>
      <x:c r="Q103" s="32" t="str"/>
      <x:c r="R103" s="33" t="str"/>
      <x:c r="S103" s="32" t="str"/>
      <x:c r="T103" s="33" t="str"/>
      <x:c r="U103" s="32" t="str"/>
      <x:c r="V103" s="33" t="str"/>
      <x:c r="W103" s="32" t="str"/>
      <x:c r="X103" s="33" t="str"/>
      <x:c r="Y103" s="32" t="str"/>
      <x:c r="Z103" s="33" t="str"/>
      <x:c r="AA103" s="36" t="str">
        <x:f>TRIM(IF(K103="","A ","")&amp;IF(M103="","B ","")&amp;IF(O103="","C ","")&amp;IF(Q103="","H ","")&amp;IF(S103="","K ","")&amp;IF(U103="","D ","")&amp;IF(W103="","E ","")&amp;IF(Y103="","F",""))</x:f>
        <x:v>A B C H K D E F</x:v>
      </x:c>
      <x:c r="AB103" s="32" t="str"/>
      <x:c r="AC103" s="32" t="str"/>
      <x:c r="AD103" s="32" t="str"/>
      <x:c r="AE103" s="32" t="str"/>
      <x:c r="AF103" s="32" t="str"/>
      <x:c r="AG103" s="32" t="str"/>
      <x:c r="AH103" s="34" t="str"/>
      <x:c r="AI103" s="34" t="str">
        <x:v>Interface constructeur</x:v>
      </x:c>
      <x:c r="AJ103" s="34" t="str"/>
      <x:c r="AK103" s="34" t="str"/>
      <x:c r="AL103" s="34" t="str">
        <x:v>Les cotes IEC autonomes ne s’appliquent pas ; voir la feuille Interfaces intégrées.</x:v>
      </x:c>
      <x:c r="AM103" s="35" t="str">
        <x:v>bonfiglioli:mx3la:j-0p0058000000000000005-m-24</x:v>
      </x:c>
    </x:row>
    <x:row r="104">
      <x:c r="A104" s="31" t="str">
        <x:v>Non applicable</x:v>
      </x:c>
      <x:c r="B104" s="31" t="str">
        <x:v>MX</x:v>
      </x:c>
      <x:c r="C104" s="31" t="str">
        <x:v>MX 3LA</x:v>
      </x:c>
      <x:c r="D104" s="31" t="str">
        <x:v>j-0p0073-m-29</x:v>
      </x:c>
      <x:c r="E104" s="31" t="str">
        <x:v>4</x:v>
      </x:c>
      <x:c r="F104" s="31" t="str">
        <x:v>asynchronous</x:v>
      </x:c>
      <x:c r="G104" s="31"/>
      <x:c r="H104" s="32" t="str"/>
      <x:c r="I104" s="32" t="str">
        <x:v>Catalogue_BONFIGLIOLI_Moteur.pdf p.78</x:v>
      </x:c>
      <x:c r="J104" s="32" t="str">
        <x:v>Catalogue_BONFIGLIOLI_Moteur.pdf p.66-79 ; interface intégrée</x:v>
      </x:c>
      <x:c r="K104" s="32" t="str"/>
      <x:c r="L104" s="33" t="str"/>
      <x:c r="M104" s="32" t="str"/>
      <x:c r="N104" s="33" t="str"/>
      <x:c r="O104" s="32" t="str"/>
      <x:c r="P104" s="33" t="str"/>
      <x:c r="Q104" s="32" t="str"/>
      <x:c r="R104" s="33" t="str"/>
      <x:c r="S104" s="32" t="str"/>
      <x:c r="T104" s="33" t="str"/>
      <x:c r="U104" s="32" t="str"/>
      <x:c r="V104" s="33" t="str"/>
      <x:c r="W104" s="32" t="str"/>
      <x:c r="X104" s="33" t="str"/>
      <x:c r="Y104" s="32" t="str"/>
      <x:c r="Z104" s="33" t="str"/>
      <x:c r="AA104" s="36" t="str">
        <x:f>TRIM(IF(K104="","A ","")&amp;IF(M104="","B ","")&amp;IF(O104="","C ","")&amp;IF(Q104="","H ","")&amp;IF(S104="","K ","")&amp;IF(U104="","D ","")&amp;IF(W104="","E ","")&amp;IF(Y104="","F",""))</x:f>
        <x:v>A B C H K D E F</x:v>
      </x:c>
      <x:c r="AB104" s="32" t="str"/>
      <x:c r="AC104" s="32" t="str"/>
      <x:c r="AD104" s="32" t="str"/>
      <x:c r="AE104" s="32" t="str"/>
      <x:c r="AF104" s="32" t="str"/>
      <x:c r="AG104" s="32" t="str"/>
      <x:c r="AH104" s="34" t="str"/>
      <x:c r="AI104" s="34" t="str">
        <x:v>Interface constructeur</x:v>
      </x:c>
      <x:c r="AJ104" s="34" t="str"/>
      <x:c r="AK104" s="34" t="str"/>
      <x:c r="AL104" s="34" t="str">
        <x:v>Les cotes IEC autonomes ne s’appliquent pas ; voir la feuille Interfaces intégrées.</x:v>
      </x:c>
      <x:c r="AM104" s="35" t="str">
        <x:v>bonfiglioli:mx3la:j-0p0073-m-29</x:v>
      </x:c>
    </x:row>
    <x:row r="105">
      <x:c r="A105" s="31" t="str">
        <x:v>Non applicable</x:v>
      </x:c>
      <x:c r="B105" s="31" t="str">
        <x:v>MX</x:v>
      </x:c>
      <x:c r="C105" s="31" t="str">
        <x:v>MX 3LB</x:v>
      </x:c>
      <x:c r="D105" s="31" t="str">
        <x:v>j-0p0073-m-29</x:v>
      </x:c>
      <x:c r="E105" s="31" t="str">
        <x:v>4</x:v>
      </x:c>
      <x:c r="F105" s="31" t="str">
        <x:v>asynchronous</x:v>
      </x:c>
      <x:c r="G105" s="31"/>
      <x:c r="H105" s="32" t="str"/>
      <x:c r="I105" s="32" t="str">
        <x:v>Catalogue_BONFIGLIOLI_Moteur.pdf p.78</x:v>
      </x:c>
      <x:c r="J105" s="32" t="str">
        <x:v>Catalogue_BONFIGLIOLI_Moteur.pdf p.66-79 ; interface intégrée</x:v>
      </x:c>
      <x:c r="K105" s="32" t="str"/>
      <x:c r="L105" s="33" t="str"/>
      <x:c r="M105" s="32" t="str"/>
      <x:c r="N105" s="33" t="str"/>
      <x:c r="O105" s="32" t="str"/>
      <x:c r="P105" s="33" t="str"/>
      <x:c r="Q105" s="32" t="str"/>
      <x:c r="R105" s="33" t="str"/>
      <x:c r="S105" s="32" t="str"/>
      <x:c r="T105" s="33" t="str"/>
      <x:c r="U105" s="32" t="str"/>
      <x:c r="V105" s="33" t="str"/>
      <x:c r="W105" s="32" t="str"/>
      <x:c r="X105" s="33" t="str"/>
      <x:c r="Y105" s="32" t="str"/>
      <x:c r="Z105" s="33" t="str"/>
      <x:c r="AA105" s="36" t="str">
        <x:f>TRIM(IF(K105="","A ","")&amp;IF(M105="","B ","")&amp;IF(O105="","C ","")&amp;IF(Q105="","H ","")&amp;IF(S105="","K ","")&amp;IF(U105="","D ","")&amp;IF(W105="","E ","")&amp;IF(Y105="","F",""))</x:f>
        <x:v>A B C H K D E F</x:v>
      </x:c>
      <x:c r="AB105" s="32" t="str"/>
      <x:c r="AC105" s="32" t="str"/>
      <x:c r="AD105" s="32" t="str"/>
      <x:c r="AE105" s="32" t="str"/>
      <x:c r="AF105" s="32" t="str"/>
      <x:c r="AG105" s="32" t="str"/>
      <x:c r="AH105" s="34" t="str"/>
      <x:c r="AI105" s="34" t="str">
        <x:v>Interface constructeur</x:v>
      </x:c>
      <x:c r="AJ105" s="34" t="str"/>
      <x:c r="AK105" s="34" t="str"/>
      <x:c r="AL105" s="34" t="str">
        <x:v>Les cotes IEC autonomes ne s’appliquent pas ; voir la feuille Interfaces intégrées.</x:v>
      </x:c>
      <x:c r="AM105" s="35" t="str">
        <x:v>bonfiglioli:mx3lb:j-0p0073-m-29</x:v>
      </x:c>
    </x:row>
    <x:row r="106">
      <x:c r="A106" s="31" t="str">
        <x:v>Non applicable</x:v>
      </x:c>
      <x:c r="B106" s="31" t="str">
        <x:v>MX</x:v>
      </x:c>
      <x:c r="C106" s="31" t="str">
        <x:v>MX 3SA</x:v>
      </x:c>
      <x:c r="D106" s="31" t="str">
        <x:v>j-0p0035-m-17</x:v>
      </x:c>
      <x:c r="E106" s="31" t="str">
        <x:v>4</x:v>
      </x:c>
      <x:c r="F106" s="31" t="str">
        <x:v>asynchronous</x:v>
      </x:c>
      <x:c r="G106" s="31"/>
      <x:c r="H106" s="32" t="str"/>
      <x:c r="I106" s="32" t="str">
        <x:v>Catalogue_BONFIGLIOLI_Moteur.pdf p.78</x:v>
      </x:c>
      <x:c r="J106" s="32" t="str">
        <x:v>Catalogue_BONFIGLIOLI_Moteur.pdf p.66-79 ; interface intégrée</x:v>
      </x:c>
      <x:c r="K106" s="32" t="str"/>
      <x:c r="L106" s="33" t="str"/>
      <x:c r="M106" s="32" t="str"/>
      <x:c r="N106" s="33" t="str"/>
      <x:c r="O106" s="32" t="str"/>
      <x:c r="P106" s="33" t="str"/>
      <x:c r="Q106" s="32" t="str"/>
      <x:c r="R106" s="33" t="str"/>
      <x:c r="S106" s="32" t="str"/>
      <x:c r="T106" s="33" t="str"/>
      <x:c r="U106" s="32" t="str"/>
      <x:c r="V106" s="33" t="str"/>
      <x:c r="W106" s="32" t="str"/>
      <x:c r="X106" s="33" t="str"/>
      <x:c r="Y106" s="32" t="str"/>
      <x:c r="Z106" s="33" t="str"/>
      <x:c r="AA106" s="36" t="str">
        <x:f>TRIM(IF(K106="","A ","")&amp;IF(M106="","B ","")&amp;IF(O106="","C ","")&amp;IF(Q106="","H ","")&amp;IF(S106="","K ","")&amp;IF(U106="","D ","")&amp;IF(W106="","E ","")&amp;IF(Y106="","F",""))</x:f>
        <x:v>A B C H K D E F</x:v>
      </x:c>
      <x:c r="AB106" s="32" t="str"/>
      <x:c r="AC106" s="32" t="str"/>
      <x:c r="AD106" s="32" t="str"/>
      <x:c r="AE106" s="32" t="str"/>
      <x:c r="AF106" s="32" t="str"/>
      <x:c r="AG106" s="32" t="str"/>
      <x:c r="AH106" s="34" t="str"/>
      <x:c r="AI106" s="34" t="str">
        <x:v>Interface constructeur</x:v>
      </x:c>
      <x:c r="AJ106" s="34" t="str"/>
      <x:c r="AK106" s="34" t="str"/>
      <x:c r="AL106" s="34" t="str">
        <x:v>Les cotes IEC autonomes ne s’appliquent pas ; voir la feuille Interfaces intégrées.</x:v>
      </x:c>
      <x:c r="AM106" s="35" t="str">
        <x:v>bonfiglioli:mx3sa:j-0p0035-m-17</x:v>
      </x:c>
    </x:row>
    <x:row r="107">
      <x:c r="A107" s="31" t="str">
        <x:v>Non applicable</x:v>
      </x:c>
      <x:c r="B107" s="31" t="str">
        <x:v>MX</x:v>
      </x:c>
      <x:c r="C107" s="31" t="str">
        <x:v>MX 3SB</x:v>
      </x:c>
      <x:c r="D107" s="31" t="str">
        <x:v>j-0p0043-m-20</x:v>
      </x:c>
      <x:c r="E107" s="31" t="str">
        <x:v>4</x:v>
      </x:c>
      <x:c r="F107" s="31" t="str">
        <x:v>asynchronous</x:v>
      </x:c>
      <x:c r="G107" s="31"/>
      <x:c r="H107" s="32" t="str"/>
      <x:c r="I107" s="32" t="str">
        <x:v>Catalogue_BONFIGLIOLI_Moteur.pdf p.78</x:v>
      </x:c>
      <x:c r="J107" s="32" t="str">
        <x:v>Catalogue_BONFIGLIOLI_Moteur.pdf p.66-79 ; interface intégrée</x:v>
      </x:c>
      <x:c r="K107" s="32" t="str"/>
      <x:c r="L107" s="33" t="str"/>
      <x:c r="M107" s="32" t="str"/>
      <x:c r="N107" s="33" t="str"/>
      <x:c r="O107" s="32" t="str"/>
      <x:c r="P107" s="33" t="str"/>
      <x:c r="Q107" s="32" t="str"/>
      <x:c r="R107" s="33" t="str"/>
      <x:c r="S107" s="32" t="str"/>
      <x:c r="T107" s="33" t="str"/>
      <x:c r="U107" s="32" t="str"/>
      <x:c r="V107" s="33" t="str"/>
      <x:c r="W107" s="32" t="str"/>
      <x:c r="X107" s="33" t="str"/>
      <x:c r="Y107" s="32" t="str"/>
      <x:c r="Z107" s="33" t="str"/>
      <x:c r="AA107" s="36" t="str">
        <x:f>TRIM(IF(K107="","A ","")&amp;IF(M107="","B ","")&amp;IF(O107="","C ","")&amp;IF(Q107="","H ","")&amp;IF(S107="","K ","")&amp;IF(U107="","D ","")&amp;IF(W107="","E ","")&amp;IF(Y107="","F",""))</x:f>
        <x:v>A B C H K D E F</x:v>
      </x:c>
      <x:c r="AB107" s="32" t="str"/>
      <x:c r="AC107" s="32" t="str"/>
      <x:c r="AD107" s="32" t="str"/>
      <x:c r="AE107" s="32" t="str"/>
      <x:c r="AF107" s="32" t="str"/>
      <x:c r="AG107" s="32" t="str"/>
      <x:c r="AH107" s="34" t="str"/>
      <x:c r="AI107" s="34" t="str">
        <x:v>Interface constructeur</x:v>
      </x:c>
      <x:c r="AJ107" s="34" t="str"/>
      <x:c r="AK107" s="34" t="str"/>
      <x:c r="AL107" s="34" t="str">
        <x:v>Les cotes IEC autonomes ne s’appliquent pas ; voir la feuille Interfaces intégrées.</x:v>
      </x:c>
      <x:c r="AM107" s="35" t="str">
        <x:v>bonfiglioli:mx3sb:j-0p0043-m-20</x:v>
      </x:c>
    </x:row>
    <x:row r="108">
      <x:c r="A108" s="31" t="str">
        <x:v>Non applicable</x:v>
      </x:c>
      <x:c r="B108" s="31" t="str">
        <x:v>MX</x:v>
      </x:c>
      <x:c r="C108" s="31" t="str">
        <x:v>MX 4LA</x:v>
      </x:c>
      <x:c r="D108" s="31" t="str">
        <x:v>j-0p036000000000000004-m-67</x:v>
      </x:c>
      <x:c r="E108" s="31" t="str">
        <x:v>4</x:v>
      </x:c>
      <x:c r="F108" s="31" t="str">
        <x:v>asynchronous</x:v>
      </x:c>
      <x:c r="G108" s="31"/>
      <x:c r="H108" s="32" t="str"/>
      <x:c r="I108" s="32" t="str">
        <x:v>Catalogue_BONFIGLIOLI_Moteur.pdf p.78</x:v>
      </x:c>
      <x:c r="J108" s="32" t="str">
        <x:v>Catalogue_BONFIGLIOLI_Moteur.pdf p.66-79 ; interface intégrée</x:v>
      </x:c>
      <x:c r="K108" s="32" t="str"/>
      <x:c r="L108" s="33" t="str"/>
      <x:c r="M108" s="32" t="str"/>
      <x:c r="N108" s="33" t="str"/>
      <x:c r="O108" s="32" t="str"/>
      <x:c r="P108" s="33" t="str"/>
      <x:c r="Q108" s="32" t="str"/>
      <x:c r="R108" s="33" t="str"/>
      <x:c r="S108" s="32" t="str"/>
      <x:c r="T108" s="33" t="str"/>
      <x:c r="U108" s="32" t="str"/>
      <x:c r="V108" s="33" t="str"/>
      <x:c r="W108" s="32" t="str"/>
      <x:c r="X108" s="33" t="str"/>
      <x:c r="Y108" s="32" t="str"/>
      <x:c r="Z108" s="33" t="str"/>
      <x:c r="AA108" s="36" t="str">
        <x:f>TRIM(IF(K108="","A ","")&amp;IF(M108="","B ","")&amp;IF(O108="","C ","")&amp;IF(Q108="","H ","")&amp;IF(S108="","K ","")&amp;IF(U108="","D ","")&amp;IF(W108="","E ","")&amp;IF(Y108="","F",""))</x:f>
        <x:v>A B C H K D E F</x:v>
      </x:c>
      <x:c r="AB108" s="32" t="str"/>
      <x:c r="AC108" s="32" t="str"/>
      <x:c r="AD108" s="32" t="str"/>
      <x:c r="AE108" s="32" t="str"/>
      <x:c r="AF108" s="32" t="str"/>
      <x:c r="AG108" s="32" t="str"/>
      <x:c r="AH108" s="34" t="str"/>
      <x:c r="AI108" s="34" t="str">
        <x:v>Interface constructeur</x:v>
      </x:c>
      <x:c r="AJ108" s="34" t="str"/>
      <x:c r="AK108" s="34" t="str"/>
      <x:c r="AL108" s="34" t="str">
        <x:v>Les cotes IEC autonomes ne s’appliquent pas ; voir la feuille Interfaces intégrées.</x:v>
      </x:c>
      <x:c r="AM108" s="35" t="str">
        <x:v>bonfiglioli:mx4la:j-0p036000000000000004-m-67</x:v>
      </x:c>
    </x:row>
    <x:row r="109">
      <x:c r="A109" s="31" t="str">
        <x:v>Non applicable</x:v>
      </x:c>
      <x:c r="B109" s="31" t="str">
        <x:v>MX</x:v>
      </x:c>
      <x:c r="C109" s="31" t="str">
        <x:v>MX 4LA</x:v>
      </x:c>
      <x:c r="D109" s="31" t="str">
        <x:v>j-0p041-m-77</x:v>
      </x:c>
      <x:c r="E109" s="31" t="str">
        <x:v>4</x:v>
      </x:c>
      <x:c r="F109" s="31" t="str">
        <x:v>asynchronous</x:v>
      </x:c>
      <x:c r="G109" s="31"/>
      <x:c r="H109" s="32" t="str"/>
      <x:c r="I109" s="32" t="str">
        <x:v>Catalogue_BONFIGLIOLI_Moteur.pdf p.78</x:v>
      </x:c>
      <x:c r="J109" s="32" t="str">
        <x:v>Catalogue_BONFIGLIOLI_Moteur.pdf p.66-79 ; interface intégrée</x:v>
      </x:c>
      <x:c r="K109" s="32" t="str"/>
      <x:c r="L109" s="33" t="str"/>
      <x:c r="M109" s="32" t="str"/>
      <x:c r="N109" s="33" t="str"/>
      <x:c r="O109" s="32" t="str"/>
      <x:c r="P109" s="33" t="str"/>
      <x:c r="Q109" s="32" t="str"/>
      <x:c r="R109" s="33" t="str"/>
      <x:c r="S109" s="32" t="str"/>
      <x:c r="T109" s="33" t="str"/>
      <x:c r="U109" s="32" t="str"/>
      <x:c r="V109" s="33" t="str"/>
      <x:c r="W109" s="32" t="str"/>
      <x:c r="X109" s="33" t="str"/>
      <x:c r="Y109" s="32" t="str"/>
      <x:c r="Z109" s="33" t="str"/>
      <x:c r="AA109" s="36" t="str">
        <x:f>TRIM(IF(K109="","A ","")&amp;IF(M109="","B ","")&amp;IF(O109="","C ","")&amp;IF(Q109="","H ","")&amp;IF(S109="","K ","")&amp;IF(U109="","D ","")&amp;IF(W109="","E ","")&amp;IF(Y109="","F",""))</x:f>
        <x:v>A B C H K D E F</x:v>
      </x:c>
      <x:c r="AB109" s="32" t="str"/>
      <x:c r="AC109" s="32" t="str"/>
      <x:c r="AD109" s="32" t="str"/>
      <x:c r="AE109" s="32" t="str"/>
      <x:c r="AF109" s="32" t="str"/>
      <x:c r="AG109" s="32" t="str"/>
      <x:c r="AH109" s="34" t="str"/>
      <x:c r="AI109" s="34" t="str">
        <x:v>Interface constructeur</x:v>
      </x:c>
      <x:c r="AJ109" s="34" t="str"/>
      <x:c r="AK109" s="34" t="str"/>
      <x:c r="AL109" s="34" t="str">
        <x:v>Les cotes IEC autonomes ne s’appliquent pas ; voir la feuille Interfaces intégrées.</x:v>
      </x:c>
      <x:c r="AM109" s="35" t="str">
        <x:v>bonfiglioli:mx4la:j-0p041-m-77</x:v>
      </x:c>
    </x:row>
    <x:row r="110">
      <x:c r="A110" s="31" t="str">
        <x:v>Non applicable</x:v>
      </x:c>
      <x:c r="B110" s="31" t="str">
        <x:v>MX</x:v>
      </x:c>
      <x:c r="C110" s="31" t="str">
        <x:v>MX 4SA</x:v>
      </x:c>
      <x:c r="D110" s="31" t="str">
        <x:v>j-0p022500000000000003-m-45</x:v>
      </x:c>
      <x:c r="E110" s="31" t="str">
        <x:v>4</x:v>
      </x:c>
      <x:c r="F110" s="31" t="str">
        <x:v>asynchronous</x:v>
      </x:c>
      <x:c r="G110" s="31"/>
      <x:c r="H110" s="32" t="str"/>
      <x:c r="I110" s="32" t="str">
        <x:v>Catalogue_BONFIGLIOLI_Moteur.pdf p.78</x:v>
      </x:c>
      <x:c r="J110" s="32" t="str">
        <x:v>Catalogue_BONFIGLIOLI_Moteur.pdf p.66-79 ; interface intégrée</x:v>
      </x:c>
      <x:c r="K110" s="32" t="str"/>
      <x:c r="L110" s="33" t="str"/>
      <x:c r="M110" s="32" t="str"/>
      <x:c r="N110" s="33" t="str"/>
      <x:c r="O110" s="32" t="str"/>
      <x:c r="P110" s="33" t="str"/>
      <x:c r="Q110" s="32" t="str"/>
      <x:c r="R110" s="33" t="str"/>
      <x:c r="S110" s="32" t="str"/>
      <x:c r="T110" s="33" t="str"/>
      <x:c r="U110" s="32" t="str"/>
      <x:c r="V110" s="33" t="str"/>
      <x:c r="W110" s="32" t="str"/>
      <x:c r="X110" s="33" t="str"/>
      <x:c r="Y110" s="32" t="str"/>
      <x:c r="Z110" s="33" t="str"/>
      <x:c r="AA110" s="36" t="str">
        <x:f>TRIM(IF(K110="","A ","")&amp;IF(M110="","B ","")&amp;IF(O110="","C ","")&amp;IF(Q110="","H ","")&amp;IF(S110="","K ","")&amp;IF(U110="","D ","")&amp;IF(W110="","E ","")&amp;IF(Y110="","F",""))</x:f>
        <x:v>A B C H K D E F</x:v>
      </x:c>
      <x:c r="AB110" s="32" t="str"/>
      <x:c r="AC110" s="32" t="str"/>
      <x:c r="AD110" s="32" t="str"/>
      <x:c r="AE110" s="32" t="str"/>
      <x:c r="AF110" s="32" t="str"/>
      <x:c r="AG110" s="32" t="str"/>
      <x:c r="AH110" s="34" t="str"/>
      <x:c r="AI110" s="34" t="str">
        <x:v>Interface constructeur</x:v>
      </x:c>
      <x:c r="AJ110" s="34" t="str"/>
      <x:c r="AK110" s="34" t="str"/>
      <x:c r="AL110" s="34" t="str">
        <x:v>Les cotes IEC autonomes ne s’appliquent pas ; voir la feuille Interfaces intégrées.</x:v>
      </x:c>
      <x:c r="AM110" s="35" t="str">
        <x:v>bonfiglioli:mx4sa:j-0p022500000000000003-m-45</x:v>
      </x:c>
    </x:row>
    <x:row r="111">
      <x:c r="A111" s="31" t="str">
        <x:v>Non applicable</x:v>
      </x:c>
      <x:c r="B111" s="31" t="str">
        <x:v>MX</x:v>
      </x:c>
      <x:c r="C111" s="31" t="str">
        <x:v>MX 4SB</x:v>
      </x:c>
      <x:c r="D111" s="31" t="str">
        <x:v>j-0p031-m-57</x:v>
      </x:c>
      <x:c r="E111" s="31" t="str">
        <x:v>4</x:v>
      </x:c>
      <x:c r="F111" s="31" t="str">
        <x:v>asynchronous</x:v>
      </x:c>
      <x:c r="G111" s="31"/>
      <x:c r="H111" s="32" t="str"/>
      <x:c r="I111" s="32" t="str">
        <x:v>Catalogue_BONFIGLIOLI_Moteur.pdf p.78</x:v>
      </x:c>
      <x:c r="J111" s="32" t="str">
        <x:v>Catalogue_BONFIGLIOLI_Moteur.pdf p.66-79 ; interface intégrée</x:v>
      </x:c>
      <x:c r="K111" s="32" t="str"/>
      <x:c r="L111" s="33" t="str"/>
      <x:c r="M111" s="32" t="str"/>
      <x:c r="N111" s="33" t="str"/>
      <x:c r="O111" s="32" t="str"/>
      <x:c r="P111" s="33" t="str"/>
      <x:c r="Q111" s="32" t="str"/>
      <x:c r="R111" s="33" t="str"/>
      <x:c r="S111" s="32" t="str"/>
      <x:c r="T111" s="33" t="str"/>
      <x:c r="U111" s="32" t="str"/>
      <x:c r="V111" s="33" t="str"/>
      <x:c r="W111" s="32" t="str"/>
      <x:c r="X111" s="33" t="str"/>
      <x:c r="Y111" s="32" t="str"/>
      <x:c r="Z111" s="33" t="str"/>
      <x:c r="AA111" s="36" t="str">
        <x:f>TRIM(IF(K111="","A ","")&amp;IF(M111="","B ","")&amp;IF(O111="","C ","")&amp;IF(Q111="","H ","")&amp;IF(S111="","K ","")&amp;IF(U111="","D ","")&amp;IF(W111="","E ","")&amp;IF(Y111="","F",""))</x:f>
        <x:v>A B C H K D E F</x:v>
      </x:c>
      <x:c r="AB111" s="32" t="str"/>
      <x:c r="AC111" s="32" t="str"/>
      <x:c r="AD111" s="32" t="str"/>
      <x:c r="AE111" s="32" t="str"/>
      <x:c r="AF111" s="32" t="str"/>
      <x:c r="AG111" s="32" t="str"/>
      <x:c r="AH111" s="34" t="str"/>
      <x:c r="AI111" s="34" t="str">
        <x:v>Interface constructeur</x:v>
      </x:c>
      <x:c r="AJ111" s="34" t="str"/>
      <x:c r="AK111" s="34" t="str"/>
      <x:c r="AL111" s="34" t="str">
        <x:v>Les cotes IEC autonomes ne s’appliquent pas ; voir la feuille Interfaces intégrées.</x:v>
      </x:c>
      <x:c r="AM111" s="35" t="str">
        <x:v>bonfiglioli:mx4sb:j-0p031-m-57</x:v>
      </x:c>
    </x:row>
    <x:row r="112">
      <x:c r="A112" s="31" t="str">
        <x:v>Non applicable</x:v>
      </x:c>
      <x:c r="B112" s="31" t="str">
        <x:v>MX</x:v>
      </x:c>
      <x:c r="C112" s="31" t="str">
        <x:v>MX 4SB</x:v>
      </x:c>
      <x:c r="D112" s="31" t="str">
        <x:v>j-0p041-m-77</x:v>
      </x:c>
      <x:c r="E112" s="31" t="str">
        <x:v>4</x:v>
      </x:c>
      <x:c r="F112" s="31" t="str">
        <x:v>asynchronous</x:v>
      </x:c>
      <x:c r="G112" s="31"/>
      <x:c r="H112" s="32" t="str"/>
      <x:c r="I112" s="32" t="str">
        <x:v>Catalogue_BONFIGLIOLI_Moteur.pdf p.78</x:v>
      </x:c>
      <x:c r="J112" s="32" t="str">
        <x:v>Catalogue_BONFIGLIOLI_Moteur.pdf p.66-79 ; interface intégrée</x:v>
      </x:c>
      <x:c r="K112" s="32" t="str"/>
      <x:c r="L112" s="33" t="str"/>
      <x:c r="M112" s="32" t="str"/>
      <x:c r="N112" s="33" t="str"/>
      <x:c r="O112" s="32" t="str"/>
      <x:c r="P112" s="33" t="str"/>
      <x:c r="Q112" s="32" t="str"/>
      <x:c r="R112" s="33" t="str"/>
      <x:c r="S112" s="32" t="str"/>
      <x:c r="T112" s="33" t="str"/>
      <x:c r="U112" s="32" t="str"/>
      <x:c r="V112" s="33" t="str"/>
      <x:c r="W112" s="32" t="str"/>
      <x:c r="X112" s="33" t="str"/>
      <x:c r="Y112" s="32" t="str"/>
      <x:c r="Z112" s="33" t="str"/>
      <x:c r="AA112" s="36" t="str">
        <x:f>TRIM(IF(K112="","A ","")&amp;IF(M112="","B ","")&amp;IF(O112="","C ","")&amp;IF(Q112="","H ","")&amp;IF(S112="","K ","")&amp;IF(U112="","D ","")&amp;IF(W112="","E ","")&amp;IF(Y112="","F",""))</x:f>
        <x:v>A B C H K D E F</x:v>
      </x:c>
      <x:c r="AB112" s="32" t="str"/>
      <x:c r="AC112" s="32" t="str"/>
      <x:c r="AD112" s="32" t="str"/>
      <x:c r="AE112" s="32" t="str"/>
      <x:c r="AF112" s="32" t="str"/>
      <x:c r="AG112" s="32" t="str"/>
      <x:c r="AH112" s="34" t="str"/>
      <x:c r="AI112" s="34" t="str">
        <x:v>Interface constructeur</x:v>
      </x:c>
      <x:c r="AJ112" s="34" t="str"/>
      <x:c r="AK112" s="34" t="str"/>
      <x:c r="AL112" s="34" t="str">
        <x:v>Les cotes IEC autonomes ne s’appliquent pas ; voir la feuille Interfaces intégrées.</x:v>
      </x:c>
      <x:c r="AM112" s="35" t="str">
        <x:v>bonfiglioli:mx4sb:j-0p041-m-77</x:v>
      </x:c>
    </x:row>
    <x:row r="113">
      <x:c r="A113" s="31" t="str">
        <x:v>Non applicable</x:v>
      </x:c>
      <x:c r="B113" s="31" t="str">
        <x:v>MX</x:v>
      </x:c>
      <x:c r="C113" s="31" t="str">
        <x:v>MX 05A</x:v>
      </x:c>
      <x:c r="D113" s="31" t="str">
        <x:v>j-0p00018-m-3p2</x:v>
      </x:c>
      <x:c r="E113" s="31" t="str">
        <x:v>4</x:v>
      </x:c>
      <x:c r="F113" s="31" t="str">
        <x:v>asynchronous</x:v>
      </x:c>
      <x:c r="G113" s="31"/>
      <x:c r="H113" s="32" t="str"/>
      <x:c r="I113" s="32" t="str">
        <x:v>Catalogue_BONFIGLIOLI_Moteur.pdf p.78</x:v>
      </x:c>
      <x:c r="J113" s="32" t="str">
        <x:v>Catalogue_BONFIGLIOLI_Moteur.pdf p.66-79 ; interface intégrée</x:v>
      </x:c>
      <x:c r="K113" s="32" t="str"/>
      <x:c r="L113" s="33" t="str"/>
      <x:c r="M113" s="32" t="str"/>
      <x:c r="N113" s="33" t="str"/>
      <x:c r="O113" s="32" t="str"/>
      <x:c r="P113" s="33" t="str"/>
      <x:c r="Q113" s="32" t="str"/>
      <x:c r="R113" s="33" t="str"/>
      <x:c r="S113" s="32" t="str"/>
      <x:c r="T113" s="33" t="str"/>
      <x:c r="U113" s="32" t="str"/>
      <x:c r="V113" s="33" t="str"/>
      <x:c r="W113" s="32" t="str"/>
      <x:c r="X113" s="33" t="str"/>
      <x:c r="Y113" s="32" t="str"/>
      <x:c r="Z113" s="33" t="str"/>
      <x:c r="AA113" s="36" t="str">
        <x:f>TRIM(IF(K113="","A ","")&amp;IF(M113="","B ","")&amp;IF(O113="","C ","")&amp;IF(Q113="","H ","")&amp;IF(S113="","K ","")&amp;IF(U113="","D ","")&amp;IF(W113="","E ","")&amp;IF(Y113="","F",""))</x:f>
        <x:v>A B C H K D E F</x:v>
      </x:c>
      <x:c r="AB113" s="32" t="str"/>
      <x:c r="AC113" s="32" t="str"/>
      <x:c r="AD113" s="32" t="str"/>
      <x:c r="AE113" s="32" t="str"/>
      <x:c r="AF113" s="32" t="str"/>
      <x:c r="AG113" s="32" t="str"/>
      <x:c r="AH113" s="34" t="str"/>
      <x:c r="AI113" s="34" t="str">
        <x:v>Interface constructeur</x:v>
      </x:c>
      <x:c r="AJ113" s="34" t="str"/>
      <x:c r="AK113" s="34" t="str"/>
      <x:c r="AL113" s="34" t="str">
        <x:v>Les cotes IEC autonomes ne s’appliquent pas ; voir la feuille Interfaces intégrées.</x:v>
      </x:c>
      <x:c r="AM113" s="35" t="str">
        <x:v>bonfiglioli:mx05a:j-0p00018-m-3p2</x:v>
      </x:c>
    </x:row>
    <x:row r="114">
      <x:c r="A114" s="31" t="str">
        <x:v>Non applicable</x:v>
      </x:c>
      <x:c r="B114" s="31" t="str">
        <x:v>MX</x:v>
      </x:c>
      <x:c r="C114" s="31" t="str">
        <x:v>MX 05A</x:v>
      </x:c>
      <x:c r="D114" s="31" t="str">
        <x:v>j-0p000182-m-2p9</x:v>
      </x:c>
      <x:c r="E114" s="31" t="str">
        <x:v>4</x:v>
      </x:c>
      <x:c r="F114" s="31" t="str">
        <x:v>asynchronous</x:v>
      </x:c>
      <x:c r="G114" s="31"/>
      <x:c r="H114" s="32" t="str"/>
      <x:c r="I114" s="32" t="str">
        <x:v>Catalogue_BONFIGLIOLI_Moteur.pdf p.78</x:v>
      </x:c>
      <x:c r="J114" s="32" t="str">
        <x:v>Catalogue_BONFIGLIOLI_Moteur.pdf p.66-79 ; interface intégrée</x:v>
      </x:c>
      <x:c r="K114" s="32" t="str"/>
      <x:c r="L114" s="33" t="str"/>
      <x:c r="M114" s="32" t="str"/>
      <x:c r="N114" s="33" t="str"/>
      <x:c r="O114" s="32" t="str"/>
      <x:c r="P114" s="33" t="str"/>
      <x:c r="Q114" s="32" t="str"/>
      <x:c r="R114" s="33" t="str"/>
      <x:c r="S114" s="32" t="str"/>
      <x:c r="T114" s="33" t="str"/>
      <x:c r="U114" s="32" t="str"/>
      <x:c r="V114" s="33" t="str"/>
      <x:c r="W114" s="32" t="str"/>
      <x:c r="X114" s="33" t="str"/>
      <x:c r="Y114" s="32" t="str"/>
      <x:c r="Z114" s="33" t="str"/>
      <x:c r="AA114" s="36" t="str">
        <x:f>TRIM(IF(K114="","A ","")&amp;IF(M114="","B ","")&amp;IF(O114="","C ","")&amp;IF(Q114="","H ","")&amp;IF(S114="","K ","")&amp;IF(U114="","D ","")&amp;IF(W114="","E ","")&amp;IF(Y114="","F",""))</x:f>
        <x:v>A B C H K D E F</x:v>
      </x:c>
      <x:c r="AB114" s="32" t="str"/>
      <x:c r="AC114" s="32" t="str"/>
      <x:c r="AD114" s="32" t="str"/>
      <x:c r="AE114" s="32" t="str"/>
      <x:c r="AF114" s="32" t="str"/>
      <x:c r="AG114" s="32" t="str"/>
      <x:c r="AH114" s="34" t="str"/>
      <x:c r="AI114" s="34" t="str">
        <x:v>Interface constructeur</x:v>
      </x:c>
      <x:c r="AJ114" s="34" t="str"/>
      <x:c r="AK114" s="34" t="str"/>
      <x:c r="AL114" s="34" t="str">
        <x:v>Les cotes IEC autonomes ne s’appliquent pas ; voir la feuille Interfaces intégrées.</x:v>
      </x:c>
      <x:c r="AM114" s="35" t="str">
        <x:v>bonfiglioli:mx05a:j-0p000182-m-2p9</x:v>
      </x:c>
    </x:row>
    <x:row r="115">
      <x:c r="A115" s="31" t="str">
        <x:v>Non applicable</x:v>
      </x:c>
      <x:c r="B115" s="31" t="str">
        <x:v>MX</x:v>
      </x:c>
      <x:c r="C115" s="31" t="str">
        <x:v>MX 05B</x:v>
      </x:c>
      <x:c r="D115" s="31" t="str">
        <x:v>j-0p00029-m-4p8</x:v>
      </x:c>
      <x:c r="E115" s="31" t="str">
        <x:v>4</x:v>
      </x:c>
      <x:c r="F115" s="31" t="str">
        <x:v>asynchronous</x:v>
      </x:c>
      <x:c r="G115" s="31"/>
      <x:c r="H115" s="32" t="str"/>
      <x:c r="I115" s="32" t="str">
        <x:v>Catalogue_BONFIGLIOLI_Moteur.pdf p.78</x:v>
      </x:c>
      <x:c r="J115" s="32" t="str">
        <x:v>Catalogue_BONFIGLIOLI_Moteur.pdf p.66-79 ; interface intégrée</x:v>
      </x:c>
      <x:c r="K115" s="32" t="str"/>
      <x:c r="L115" s="33" t="str"/>
      <x:c r="M115" s="32" t="str"/>
      <x:c r="N115" s="33" t="str"/>
      <x:c r="O115" s="32" t="str"/>
      <x:c r="P115" s="33" t="str"/>
      <x:c r="Q115" s="32" t="str"/>
      <x:c r="R115" s="33" t="str"/>
      <x:c r="S115" s="32" t="str"/>
      <x:c r="T115" s="33" t="str"/>
      <x:c r="U115" s="32" t="str"/>
      <x:c r="V115" s="33" t="str"/>
      <x:c r="W115" s="32" t="str"/>
      <x:c r="X115" s="33" t="str"/>
      <x:c r="Y115" s="32" t="str"/>
      <x:c r="Z115" s="33" t="str"/>
      <x:c r="AA115" s="36" t="str">
        <x:f>TRIM(IF(K115="","A ","")&amp;IF(M115="","B ","")&amp;IF(O115="","C ","")&amp;IF(Q115="","H ","")&amp;IF(S115="","K ","")&amp;IF(U115="","D ","")&amp;IF(W115="","E ","")&amp;IF(Y115="","F",""))</x:f>
        <x:v>A B C H K D E F</x:v>
      </x:c>
      <x:c r="AB115" s="32" t="str"/>
      <x:c r="AC115" s="32" t="str"/>
      <x:c r="AD115" s="32" t="str"/>
      <x:c r="AE115" s="32" t="str"/>
      <x:c r="AF115" s="32" t="str"/>
      <x:c r="AG115" s="32" t="str"/>
      <x:c r="AH115" s="34" t="str"/>
      <x:c r="AI115" s="34" t="str">
        <x:v>Interface constructeur</x:v>
      </x:c>
      <x:c r="AJ115" s="34" t="str"/>
      <x:c r="AK115" s="34" t="str"/>
      <x:c r="AL115" s="34" t="str">
        <x:v>Les cotes IEC autonomes ne s’appliquent pas ; voir la feuille Interfaces intégrées.</x:v>
      </x:c>
      <x:c r="AM115" s="35" t="str">
        <x:v>bonfiglioli:mx05b:j-0p00029-m-4p8</x:v>
      </x:c>
    </x:row>
    <x:row r="116">
      <x:c r="A116" s="31" t="str">
        <x:v>Non applicable</x:v>
      </x:c>
      <x:c r="B116" s="31" t="str">
        <x:v>MX</x:v>
      </x:c>
      <x:c r="C116" s="31" t="str">
        <x:v>MX 05B</x:v>
      </x:c>
      <x:c r="D116" s="31" t="str">
        <x:v>j-0p00029-m-5p1</x:v>
      </x:c>
      <x:c r="E116" s="31" t="str">
        <x:v>4</x:v>
      </x:c>
      <x:c r="F116" s="31" t="str">
        <x:v>asynchronous</x:v>
      </x:c>
      <x:c r="G116" s="31"/>
      <x:c r="H116" s="32" t="str"/>
      <x:c r="I116" s="32" t="str">
        <x:v>Catalogue_BONFIGLIOLI_Moteur.pdf p.78</x:v>
      </x:c>
      <x:c r="J116" s="32" t="str">
        <x:v>Catalogue_BONFIGLIOLI_Moteur.pdf p.66-79 ; interface intégrée</x:v>
      </x:c>
      <x:c r="K116" s="32" t="str"/>
      <x:c r="L116" s="33" t="str"/>
      <x:c r="M116" s="32" t="str"/>
      <x:c r="N116" s="33" t="str"/>
      <x:c r="O116" s="32" t="str"/>
      <x:c r="P116" s="33" t="str"/>
      <x:c r="Q116" s="32" t="str"/>
      <x:c r="R116" s="33" t="str"/>
      <x:c r="S116" s="32" t="str"/>
      <x:c r="T116" s="33" t="str"/>
      <x:c r="U116" s="32" t="str"/>
      <x:c r="V116" s="33" t="str"/>
      <x:c r="W116" s="32" t="str"/>
      <x:c r="X116" s="33" t="str"/>
      <x:c r="Y116" s="32" t="str"/>
      <x:c r="Z116" s="33" t="str"/>
      <x:c r="AA116" s="36" t="str">
        <x:f>TRIM(IF(K116="","A ","")&amp;IF(M116="","B ","")&amp;IF(O116="","C ","")&amp;IF(Q116="","H ","")&amp;IF(S116="","K ","")&amp;IF(U116="","D ","")&amp;IF(W116="","E ","")&amp;IF(Y116="","F",""))</x:f>
        <x:v>A B C H K D E F</x:v>
      </x:c>
      <x:c r="AB116" s="32" t="str"/>
      <x:c r="AC116" s="32" t="str"/>
      <x:c r="AD116" s="32" t="str"/>
      <x:c r="AE116" s="32" t="str"/>
      <x:c r="AF116" s="32" t="str"/>
      <x:c r="AG116" s="32" t="str"/>
      <x:c r="AH116" s="34" t="str"/>
      <x:c r="AI116" s="34" t="str">
        <x:v>Interface constructeur</x:v>
      </x:c>
      <x:c r="AJ116" s="34" t="str"/>
      <x:c r="AK116" s="34" t="str"/>
      <x:c r="AL116" s="34" t="str">
        <x:v>Les cotes IEC autonomes ne s’appliquent pas ; voir la feuille Interfaces intégrées.</x:v>
      </x:c>
      <x:c r="AM116" s="35" t="str">
        <x:v>bonfiglioli:mx05b:j-0p00029-m-5p1</x:v>
      </x:c>
    </x:row>
    <x:row r="117">
      <x:c r="A117" s="31" t="str">
        <x:v>Non applicable</x:v>
      </x:c>
      <x:c r="B117" s="31" t="str">
        <x:v>MX</x:v>
      </x:c>
      <x:c r="C117" s="31" t="str">
        <x:v>MX 5LA</x:v>
      </x:c>
      <x:c r="D117" s="31" t="str">
        <x:v>j-0p08900000000000001-m-121</x:v>
      </x:c>
      <x:c r="E117" s="31" t="str">
        <x:v>4</x:v>
      </x:c>
      <x:c r="F117" s="31" t="str">
        <x:v>asynchronous</x:v>
      </x:c>
      <x:c r="G117" s="31"/>
      <x:c r="H117" s="32" t="str"/>
      <x:c r="I117" s="32" t="str">
        <x:v>Catalogue_BONFIGLIOLI_Moteur.pdf p.78</x:v>
      </x:c>
      <x:c r="J117" s="32" t="str">
        <x:v>Catalogue_BONFIGLIOLI_Moteur.pdf p.66-79 ; interface intégrée</x:v>
      </x:c>
      <x:c r="K117" s="32" t="str"/>
      <x:c r="L117" s="33" t="str"/>
      <x:c r="M117" s="32" t="str"/>
      <x:c r="N117" s="33" t="str"/>
      <x:c r="O117" s="32" t="str"/>
      <x:c r="P117" s="33" t="str"/>
      <x:c r="Q117" s="32" t="str"/>
      <x:c r="R117" s="33" t="str"/>
      <x:c r="S117" s="32" t="str"/>
      <x:c r="T117" s="33" t="str"/>
      <x:c r="U117" s="32" t="str"/>
      <x:c r="V117" s="33" t="str"/>
      <x:c r="W117" s="32" t="str"/>
      <x:c r="X117" s="33" t="str"/>
      <x:c r="Y117" s="32" t="str"/>
      <x:c r="Z117" s="33" t="str"/>
      <x:c r="AA117" s="36" t="str">
        <x:f>TRIM(IF(K117="","A ","")&amp;IF(M117="","B ","")&amp;IF(O117="","C ","")&amp;IF(Q117="","H ","")&amp;IF(S117="","K ","")&amp;IF(U117="","D ","")&amp;IF(W117="","E ","")&amp;IF(Y117="","F",""))</x:f>
        <x:v>A B C H K D E F</x:v>
      </x:c>
      <x:c r="AB117" s="32" t="str"/>
      <x:c r="AC117" s="32" t="str"/>
      <x:c r="AD117" s="32" t="str"/>
      <x:c r="AE117" s="32" t="str"/>
      <x:c r="AF117" s="32" t="str"/>
      <x:c r="AG117" s="32" t="str"/>
      <x:c r="AH117" s="34" t="str"/>
      <x:c r="AI117" s="34" t="str">
        <x:v>Interface constructeur</x:v>
      </x:c>
      <x:c r="AJ117" s="34" t="str"/>
      <x:c r="AK117" s="34" t="str"/>
      <x:c r="AL117" s="34" t="str">
        <x:v>Les cotes IEC autonomes ne s’appliquent pas ; voir la feuille Interfaces intégrées.</x:v>
      </x:c>
      <x:c r="AM117" s="35" t="str">
        <x:v>bonfiglioli:mx5la:j-0p08900000000000001-m-121</x:v>
      </x:c>
    </x:row>
    <x:row r="118">
      <x:c r="A118" s="31" t="str">
        <x:v>Non applicable</x:v>
      </x:c>
      <x:c r="B118" s="31" t="str">
        <x:v>MX</x:v>
      </x:c>
      <x:c r="C118" s="31" t="str">
        <x:v>MX 5SA</x:v>
      </x:c>
      <x:c r="D118" s="31" t="str">
        <x:v>j-0p065-m-95</x:v>
      </x:c>
      <x:c r="E118" s="31" t="str">
        <x:v>4</x:v>
      </x:c>
      <x:c r="F118" s="31" t="str">
        <x:v>asynchronous</x:v>
      </x:c>
      <x:c r="G118" s="31"/>
      <x:c r="H118" s="32" t="str"/>
      <x:c r="I118" s="32" t="str">
        <x:v>Catalogue_BONFIGLIOLI_Moteur.pdf p.78</x:v>
      </x:c>
      <x:c r="J118" s="32" t="str">
        <x:v>Catalogue_BONFIGLIOLI_Moteur.pdf p.66-79 ; interface intégrée</x:v>
      </x:c>
      <x:c r="K118" s="32" t="str"/>
      <x:c r="L118" s="33" t="str"/>
      <x:c r="M118" s="32" t="str"/>
      <x:c r="N118" s="33" t="str"/>
      <x:c r="O118" s="32" t="str"/>
      <x:c r="P118" s="33" t="str"/>
      <x:c r="Q118" s="32" t="str"/>
      <x:c r="R118" s="33" t="str"/>
      <x:c r="S118" s="32" t="str"/>
      <x:c r="T118" s="33" t="str"/>
      <x:c r="U118" s="32" t="str"/>
      <x:c r="V118" s="33" t="str"/>
      <x:c r="W118" s="32" t="str"/>
      <x:c r="X118" s="33" t="str"/>
      <x:c r="Y118" s="32" t="str"/>
      <x:c r="Z118" s="33" t="str"/>
      <x:c r="AA118" s="36" t="str">
        <x:f>TRIM(IF(K118="","A ","")&amp;IF(M118="","B ","")&amp;IF(O118="","C ","")&amp;IF(Q118="","H ","")&amp;IF(S118="","K ","")&amp;IF(U118="","D ","")&amp;IF(W118="","E ","")&amp;IF(Y118="","F",""))</x:f>
        <x:v>A B C H K D E F</x:v>
      </x:c>
      <x:c r="AB118" s="32" t="str"/>
      <x:c r="AC118" s="32" t="str"/>
      <x:c r="AD118" s="32" t="str"/>
      <x:c r="AE118" s="32" t="str"/>
      <x:c r="AF118" s="32" t="str"/>
      <x:c r="AG118" s="32" t="str"/>
      <x:c r="AH118" s="34" t="str"/>
      <x:c r="AI118" s="34" t="str">
        <x:v>Interface constructeur</x:v>
      </x:c>
      <x:c r="AJ118" s="34" t="str"/>
      <x:c r="AK118" s="34" t="str"/>
      <x:c r="AL118" s="34" t="str">
        <x:v>Les cotes IEC autonomes ne s’appliquent pas ; voir la feuille Interfaces intégrées.</x:v>
      </x:c>
      <x:c r="AM118" s="35" t="str">
        <x:v>bonfiglioli:mx5sa:j-0p065-m-95</x:v>
      </x:c>
    </x:row>
    <x:row r="119">
      <x:c r="A119" s="31" t="str">
        <x:v>Non applicable</x:v>
      </x:c>
      <x:c r="B119" s="31" t="str">
        <x:v>MX</x:v>
      </x:c>
      <x:c r="C119" s="31" t="str">
        <x:v>MX 5SB</x:v>
      </x:c>
      <x:c r="D119" s="31" t="str">
        <x:v>j-0p078-m-110</x:v>
      </x:c>
      <x:c r="E119" s="31" t="str">
        <x:v>4</x:v>
      </x:c>
      <x:c r="F119" s="31" t="str">
        <x:v>asynchronous</x:v>
      </x:c>
      <x:c r="G119" s="31"/>
      <x:c r="H119" s="32" t="str"/>
      <x:c r="I119" s="32" t="str">
        <x:v>Catalogue_BONFIGLIOLI_Moteur.pdf p.78</x:v>
      </x:c>
      <x:c r="J119" s="32" t="str">
        <x:v>Catalogue_BONFIGLIOLI_Moteur.pdf p.66-79 ; interface intégrée</x:v>
      </x:c>
      <x:c r="K119" s="32" t="str"/>
      <x:c r="L119" s="33" t="str"/>
      <x:c r="M119" s="32" t="str"/>
      <x:c r="N119" s="33" t="str"/>
      <x:c r="O119" s="32" t="str"/>
      <x:c r="P119" s="33" t="str"/>
      <x:c r="Q119" s="32" t="str"/>
      <x:c r="R119" s="33" t="str"/>
      <x:c r="S119" s="32" t="str"/>
      <x:c r="T119" s="33" t="str"/>
      <x:c r="U119" s="32" t="str"/>
      <x:c r="V119" s="33" t="str"/>
      <x:c r="W119" s="32" t="str"/>
      <x:c r="X119" s="33" t="str"/>
      <x:c r="Y119" s="32" t="str"/>
      <x:c r="Z119" s="33" t="str"/>
      <x:c r="AA119" s="36" t="str">
        <x:f>TRIM(IF(K119="","A ","")&amp;IF(M119="","B ","")&amp;IF(O119="","C ","")&amp;IF(Q119="","H ","")&amp;IF(S119="","K ","")&amp;IF(U119="","D ","")&amp;IF(W119="","E ","")&amp;IF(Y119="","F",""))</x:f>
        <x:v>A B C H K D E F</x:v>
      </x:c>
      <x:c r="AB119" s="32" t="str"/>
      <x:c r="AC119" s="32" t="str"/>
      <x:c r="AD119" s="32" t="str"/>
      <x:c r="AE119" s="32" t="str"/>
      <x:c r="AF119" s="32" t="str"/>
      <x:c r="AG119" s="32" t="str"/>
      <x:c r="AH119" s="34" t="str"/>
      <x:c r="AI119" s="34" t="str">
        <x:v>Interface constructeur</x:v>
      </x:c>
      <x:c r="AJ119" s="34" t="str"/>
      <x:c r="AK119" s="34" t="str"/>
      <x:c r="AL119" s="34" t="str">
        <x:v>Les cotes IEC autonomes ne s’appliquent pas ; voir la feuille Interfaces intégrées.</x:v>
      </x:c>
      <x:c r="AM119" s="35" t="str">
        <x:v>bonfiglioli:mx5sb:j-0p078-m-110</x:v>
      </x:c>
    </x:row>
  </x:sheetData>
  <x:mergeCells>
    <x:mergeCell ref="A1:AM1"/>
    <x:mergeCell ref="A2:AM2"/>
  </x:mergeCells>
  <x:conditionalFormatting sqref="A5:A119">
    <x:cfRule type="containsText" dxfId="6" priority="1" operator="containsText" text="Confirmé"/>
    <x:cfRule type="containsText" dxfId="7" priority="2" operator="containsText" text="Corrigé"/>
    <x:cfRule type="containsText" dxfId="8" priority="3" operator="containsText" text="Catalogue manquant"/>
  </x:conditionalFormatting>
  <x:dataValidations count="2">
    <x:dataValidation type="list" sqref="A5:A119">
      <x:formula1>"À vérifier,Confirmé,Corrigé,Non applicable,Catalogue manquant"</x:formula1>
    </x:dataValidation>
    <x:dataValidation type="list" sqref="AI5:AI119">
      <x:formula1>"À confirmer,Applicable,Non applicable,Interface constructeur,Dépend du montage"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00aac7e88e4f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42" hidden="0" customWidth="1"/>
    <x:col min="13" max="13" width="14" hidden="0" customWidth="1"/>
    <x:col min="14" max="14" width="52" hidden="0" customWidth="1"/>
  </x:cols>
  <x:sheetData>
    <x:row r="1">
      <x:c r="A1" s="2" t="str">
        <x:v>Relevés utilisateur contrôlés dans les catalogues fabricant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8" t="str">
        <x:v>Ces lignes ont déclenché les corrections d’extraction. Les valeurs confirmées restent rattachées à la page PDF exacte ; 1LE1003-1BD2 demeure volontairement non renseigné.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4">
      <x:c r="A4" s="40" t="str">
        <x:v>Marque</x:v>
      </x:c>
      <x:c r="B4" s="40" t="str">
        <x:v>Produit</x:v>
      </x:c>
      <x:c r="C4" s="40" t="str">
        <x:v>Pôles</x:v>
      </x:c>
      <x:c r="D4" s="40" t="str">
        <x:v>A</x:v>
      </x:c>
      <x:c r="E4" s="40" t="str">
        <x:v>B</x:v>
      </x:c>
      <x:c r="F4" s="40" t="str">
        <x:v>C</x:v>
      </x:c>
      <x:c r="G4" s="40" t="str">
        <x:v>H</x:v>
      </x:c>
      <x:c r="H4" s="40" t="str">
        <x:v>K</x:v>
      </x:c>
      <x:c r="I4" s="40" t="str">
        <x:v>D</x:v>
      </x:c>
      <x:c r="J4" s="40" t="str">
        <x:v>E</x:v>
      </x:c>
      <x:c r="K4" s="40" t="str">
        <x:v>F</x:v>
      </x:c>
      <x:c r="L4" s="40" t="str">
        <x:v>PDF</x:v>
      </x:c>
      <x:c r="M4" s="40" t="str">
        <x:v>Page(s)</x:v>
      </x:c>
      <x:c r="N4" s="40" t="str">
        <x:v>Conclusion</x:v>
      </x:c>
    </x:row>
    <x:row r="5">
      <x:c r="A5" s="41" t="str">
        <x:v>Innomotics</x:v>
      </x:c>
      <x:c r="B5" s="41" t="str">
        <x:v>1LE1003-0CA6</x:v>
      </x:c>
      <x:c r="C5" s="41" t="n">
        <x:v>2</x:v>
      </x:c>
      <x:c r="D5" s="41" t="n">
        <x:v>112</x:v>
      </x:c>
      <x:c r="E5" s="41" t="n">
        <x:v>90</x:v>
      </x:c>
      <x:c r="F5" s="41" t="n">
        <x:v>45</x:v>
      </x:c>
      <x:c r="G5" s="41" t="n">
        <x:v>71</x:v>
      </x:c>
      <x:c r="H5" s="41" t="n">
        <x:v>7</x:v>
      </x:c>
      <x:c r="I5" s="41" t="n">
        <x:v>14</x:v>
      </x:c>
      <x:c r="J5" s="41" t="n">
        <x:v>30</x:v>
      </x:c>
      <x:c r="K5" s="41" t="n">
        <x:v>5</x:v>
      </x:c>
      <x:c r="L5" s="43" t="str">
        <x:v>Catalogue_Moteur_Innomotics.pdf</x:v>
      </x:c>
      <x:c r="M5" s="43" t="str">
        <x:v>296-297</x:v>
      </x:c>
      <x:c r="N5" s="43" t="str">
        <x:v>Confirmé et intégré au candidat</x:v>
      </x:c>
    </x:row>
    <x:row r="6">
      <x:c r="A6" s="41" t="str">
        <x:v>Innomotics</x:v>
      </x:c>
      <x:c r="B6" s="41" t="str">
        <x:v>1LE1003-1BC6</x:v>
      </x:c>
      <x:c r="C6" s="41" t="n">
        <x:v>6</x:v>
      </x:c>
      <x:c r="D6" s="41" t="n">
        <x:v>190</x:v>
      </x:c>
      <x:c r="E6" s="41" t="n">
        <x:v>140</x:v>
      </x:c>
      <x:c r="F6" s="41" t="n">
        <x:v>70</x:v>
      </x:c>
      <x:c r="G6" s="41" t="n">
        <x:v>112</x:v>
      </x:c>
      <x:c r="H6" s="41" t="n">
        <x:v>12</x:v>
      </x:c>
      <x:c r="I6" s="41" t="n">
        <x:v>28</x:v>
      </x:c>
      <x:c r="J6" s="41" t="n">
        <x:v>60</x:v>
      </x:c>
      <x:c r="K6" s="41" t="n">
        <x:v>8</x:v>
      </x:c>
      <x:c r="L6" s="43" t="str">
        <x:v>Catalogue_Moteur_Innomotics.pdf</x:v>
      </x:c>
      <x:c r="M6" s="43" t="str">
        <x:v>298-299</x:v>
      </x:c>
      <x:c r="N6" s="43" t="str">
        <x:v>Confirmé et intégré au candidat</x:v>
      </x:c>
    </x:row>
    <x:row r="7">
      <x:c r="A7" s="41" t="str">
        <x:v>Innomotics</x:v>
      </x:c>
      <x:c r="B7" s="41" t="str">
        <x:v>1LE1003-1BD2</x:v>
      </x:c>
      <x:c r="C7" s="41" t="n">
        <x:v>8</x:v>
      </x:c>
      <x:c r="D7" s="41"/>
      <x:c r="E7" s="41"/>
      <x:c r="F7" s="41"/>
      <x:c r="G7" s="41"/>
      <x:c r="H7" s="41"/>
      <x:c r="I7" s="41" t="n">
        <x:v>28</x:v>
      </x:c>
      <x:c r="J7" s="41" t="n">
        <x:v>60</x:v>
      </x:c>
      <x:c r="K7" s="41" t="n">
        <x:v>8</x:v>
      </x:c>
      <x:c r="L7" s="43" t="str">
        <x:v>Catalogue_Moteur_Innomotics.pdf</x:v>
      </x:c>
      <x:c r="M7" s="43" t="str">
        <x:v>298-299</x:v>
      </x:c>
      <x:c r="N7" s="43" t="str">
        <x:v>Référence mécanique exacte non retrouvée ; aucune cote de pieds propagée</x:v>
      </x:c>
    </x:row>
    <x:row r="8">
      <x:c r="A8" s="41" t="str">
        <x:v>Innomotics</x:v>
      </x:c>
      <x:c r="B8" s="41" t="str">
        <x:v>1LE1003-1CB6</x:v>
      </x:c>
      <x:c r="C8" s="41" t="n">
        <x:v>4</x:v>
      </x:c>
      <x:c r="D8" s="41" t="n">
        <x:v>216</x:v>
      </x:c>
      <x:c r="E8" s="41" t="n">
        <x:v>178</x:v>
      </x:c>
      <x:c r="F8" s="41" t="n">
        <x:v>89</x:v>
      </x:c>
      <x:c r="G8" s="41" t="n">
        <x:v>132</x:v>
      </x:c>
      <x:c r="H8" s="41" t="n">
        <x:v>12</x:v>
      </x:c>
      <x:c r="I8" s="41" t="n">
        <x:v>38</x:v>
      </x:c>
      <x:c r="J8" s="41" t="n">
        <x:v>80</x:v>
      </x:c>
      <x:c r="K8" s="41" t="n">
        <x:v>10</x:v>
      </x:c>
      <x:c r="L8" s="43" t="str">
        <x:v>Catalogue_Moteur_Innomotics.pdf</x:v>
      </x:c>
      <x:c r="M8" s="43" t="str">
        <x:v>298-299</x:v>
      </x:c>
      <x:c r="N8" s="43" t="str">
        <x:v>Confirmé pour la ligne 132 M et intégré</x:v>
      </x:c>
    </x:row>
    <x:row r="9">
      <x:c r="A9" s="41" t="str">
        <x:v>Innomotics</x:v>
      </x:c>
      <x:c r="B9" s="41" t="str">
        <x:v>1LE5584-3BC2</x:v>
      </x:c>
      <x:c r="C9" s="41" t="n">
        <x:v>6</x:v>
      </x:c>
      <x:c r="D9" s="41" t="n">
        <x:v>610</x:v>
      </x:c>
      <x:c r="E9" s="41" t="n">
        <x:v>630</x:v>
      </x:c>
      <x:c r="F9" s="41" t="n">
        <x:v>254</x:v>
      </x:c>
      <x:c r="G9" s="41" t="n">
        <x:v>355</x:v>
      </x:c>
      <x:c r="H9" s="41" t="n">
        <x:v>35</x:v>
      </x:c>
      <x:c r="I9" s="41" t="n">
        <x:v>95</x:v>
      </x:c>
      <x:c r="J9" s="41" t="n">
        <x:v>170</x:v>
      </x:c>
      <x:c r="K9" s="41" t="n">
        <x:v>25</x:v>
      </x:c>
      <x:c r="L9" s="43" t="str">
        <x:v>Catalogue_Moteur_Innomotics.pdf</x:v>
      </x:c>
      <x:c r="M9" s="43" t="str">
        <x:v>419</x:v>
      </x:c>
      <x:c r="N9" s="43" t="str">
        <x:v>Confirmé et intégré au candidat</x:v>
      </x:c>
    </x:row>
    <x:row r="10">
      <x:c r="A10" s="41" t="str">
        <x:v>Leroy-Somer</x:v>
      </x:c>
      <x:c r="B10" s="41" t="str">
        <x:v>CILS 280 M</x:v>
      </x:c>
      <x:c r="C10" s="41" t="n">
        <x:v>2</x:v>
      </x:c>
      <x:c r="D10" s="41" t="n">
        <x:v>457</x:v>
      </x:c>
      <x:c r="E10" s="41" t="n">
        <x:v>419</x:v>
      </x:c>
      <x:c r="F10" s="41" t="n">
        <x:v>190</x:v>
      </x:c>
      <x:c r="G10" s="41" t="n">
        <x:v>280</x:v>
      </x:c>
      <x:c r="H10" s="41" t="n">
        <x:v>24</x:v>
      </x:c>
      <x:c r="I10" s="41" t="n">
        <x:v>65</x:v>
      </x:c>
      <x:c r="J10" s="41" t="n">
        <x:v>140</x:v>
      </x:c>
      <x:c r="K10" s="41" t="n">
        <x:v>18</x:v>
      </x:c>
      <x:c r="L10" s="43" t="str">
        <x:v>6154c_fr_CILS_IE4.pdf / Catalogue_LS_LSES.pdf</x:v>
      </x:c>
      <x:c r="M10" s="43" t="str">
        <x:v>14 / 94</x:v>
      </x:c>
      <x:c r="N10" s="43" t="str">
        <x:v>Arbre 2 pôles confirmé et extraction par polarité corrigée</x:v>
      </x:c>
    </x:row>
    <x:row r="11">
      <x:c r="A11" s="41" t="str">
        <x:v>Leroy-Somer</x:v>
      </x:c>
      <x:c r="B11" s="41" t="str">
        <x:v>CILS 280 M</x:v>
      </x:c>
      <x:c r="C11" s="41" t="n">
        <x:v>4</x:v>
      </x:c>
      <x:c r="D11" s="41" t="n">
        <x:v>457</x:v>
      </x:c>
      <x:c r="E11" s="41" t="n">
        <x:v>419</x:v>
      </x:c>
      <x:c r="F11" s="41" t="n">
        <x:v>190</x:v>
      </x:c>
      <x:c r="G11" s="41" t="n">
        <x:v>280</x:v>
      </x:c>
      <x:c r="H11" s="41" t="n">
        <x:v>24</x:v>
      </x:c>
      <x:c r="I11" s="41" t="n">
        <x:v>75</x:v>
      </x:c>
      <x:c r="J11" s="41" t="n">
        <x:v>140</x:v>
      </x:c>
      <x:c r="K11" s="41" t="n">
        <x:v>20</x:v>
      </x:c>
      <x:c r="L11" s="43" t="str">
        <x:v>6154c_fr_CILS_IE4.pdf / Catalogue_LS_LSES.pdf</x:v>
      </x:c>
      <x:c r="M11" s="43" t="str">
        <x:v>14 / 94</x:v>
      </x:c>
      <x:c r="N11" s="43" t="str">
        <x:v>Arbre 4 pôles confirmé et extraction par polarité corrigée</x:v>
      </x:c>
    </x:row>
    <x:row r="12">
      <x:c r="A12" s="41" t="str">
        <x:v>Leroy-Somer</x:v>
      </x:c>
      <x:c r="B12" s="41" t="str">
        <x:v>CILS 315 L</x:v>
      </x:c>
      <x:c r="C12" s="41" t="n">
        <x:v>2</x:v>
      </x:c>
      <x:c r="D12" s="41" t="n">
        <x:v>508</x:v>
      </x:c>
      <x:c r="E12" s="41" t="n">
        <x:v>508</x:v>
      </x:c>
      <x:c r="F12" s="41" t="n">
        <x:v>216</x:v>
      </x:c>
      <x:c r="G12" s="41" t="n">
        <x:v>315</x:v>
      </x:c>
      <x:c r="H12" s="41" t="n">
        <x:v>28</x:v>
      </x:c>
      <x:c r="I12" s="41" t="n">
        <x:v>65</x:v>
      </x:c>
      <x:c r="J12" s="41" t="n">
        <x:v>140</x:v>
      </x:c>
      <x:c r="K12" s="41" t="n">
        <x:v>18</x:v>
      </x:c>
      <x:c r="L12" s="43" t="str">
        <x:v>6154c_fr_CILS_IE4.pdf / Catalogue_LS_LSES.pdf</x:v>
      </x:c>
      <x:c r="M12" s="43" t="str">
        <x:v>14 / 94</x:v>
      </x:c>
      <x:c r="N12" s="43" t="str">
        <x:v>Confirmé et intégré au candidat</x:v>
      </x:c>
    </x:row>
    <x:row r="13">
      <x:c r="A13" s="41" t="str">
        <x:v>Leroy-Somer</x:v>
      </x:c>
      <x:c r="B13" s="41" t="str">
        <x:v>FLSES 250 M</x:v>
      </x:c>
      <x:c r="C13" s="41" t="n">
        <x:v>2</x:v>
      </x:c>
      <x:c r="D13" s="41" t="n">
        <x:v>406</x:v>
      </x:c>
      <x:c r="E13" s="41" t="n">
        <x:v>349</x:v>
      </x:c>
      <x:c r="F13" s="41" t="n">
        <x:v>168</x:v>
      </x:c>
      <x:c r="G13" s="41" t="n">
        <x:v>250</x:v>
      </x:c>
      <x:c r="H13" s="41" t="n">
        <x:v>24</x:v>
      </x:c>
      <x:c r="I13" s="41" t="n">
        <x:v>60</x:v>
      </x:c>
      <x:c r="J13" s="41" t="n">
        <x:v>140</x:v>
      </x:c>
      <x:c r="K13" s="41" t="n">
        <x:v>18</x:v>
      </x:c>
      <x:c r="L13" s="43" t="str">
        <x:v>Catalogue_LS_LSES.pdf</x:v>
      </x:c>
      <x:c r="M13" s="43" t="str">
        <x:v>94-95</x:v>
      </x:c>
      <x:c r="N13" s="43" t="str">
        <x:v>Confirmé et intégré au candidat</x:v>
      </x:c>
    </x:row>
    <x:row r="14">
      <x:c r="A14" s="41" t="str">
        <x:v>Leroy-Somer</x:v>
      </x:c>
      <x:c r="B14" s="41" t="str">
        <x:v>FLSES 315 LA</x:v>
      </x:c>
      <x:c r="C14" s="41" t="n">
        <x:v>2</x:v>
      </x:c>
      <x:c r="D14" s="41" t="n">
        <x:v>508</x:v>
      </x:c>
      <x:c r="E14" s="41" t="n">
        <x:v>508</x:v>
      </x:c>
      <x:c r="F14" s="41" t="n">
        <x:v>216</x:v>
      </x:c>
      <x:c r="G14" s="41" t="n">
        <x:v>315</x:v>
      </x:c>
      <x:c r="H14" s="41" t="n">
        <x:v>28</x:v>
      </x:c>
      <x:c r="I14" s="41" t="n">
        <x:v>70</x:v>
      </x:c>
      <x:c r="J14" s="41" t="n">
        <x:v>140</x:v>
      </x:c>
      <x:c r="K14" s="41" t="n">
        <x:v>20</x:v>
      </x:c>
      <x:c r="L14" s="43" t="str">
        <x:v>Catalogue_LS_LSES.pdf</x:v>
      </x:c>
      <x:c r="M14" s="43" t="str">
        <x:v>94-95</x:v>
      </x:c>
      <x:c r="N14" s="43" t="str">
        <x:v>Confirmé et intégré au candidat</x:v>
      </x:c>
    </x:row>
    <x:row r="15">
      <x:c r="A15" s="41" t="str">
        <x:v>Bonfiglioli</x:v>
      </x:c>
      <x:c r="B15" s="41" t="str">
        <x:v>BE 63A</x:v>
      </x:c>
      <x:c r="C15" s="41" t="n">
        <x:v>4</x:v>
      </x:c>
      <x:c r="D15" s="41" t="n">
        <x:v>100</x:v>
      </x:c>
      <x:c r="E15" s="41" t="n">
        <x:v>80</x:v>
      </x:c>
      <x:c r="F15" s="41" t="n">
        <x:v>40</x:v>
      </x:c>
      <x:c r="G15" s="41" t="n">
        <x:v>63</x:v>
      </x:c>
      <x:c r="H15" s="41" t="n">
        <x:v>7</x:v>
      </x:c>
      <x:c r="I15" s="41" t="n">
        <x:v>11</x:v>
      </x:c>
      <x:c r="J15" s="41" t="n">
        <x:v>23</x:v>
      </x:c>
      <x:c r="K15" s="41" t="n">
        <x:v>4</x:v>
      </x:c>
      <x:c r="L15" s="43" t="str">
        <x:v>Catalogue_BONFIGLIOLI_Moteur.pdf</x:v>
      </x:c>
      <x:c r="M15" s="43" t="str">
        <x:v>90-93</x:v>
      </x:c>
      <x:c r="N15" s="43" t="str">
        <x:v>Confirmé ; en-têtes doubles D/DA et E/EA corrigés</x:v>
      </x:c>
    </x:row>
    <x:row r="16">
      <x:c r="A16" s="42" t="str">
        <x:v>Bonfiglioli</x:v>
      </x:c>
      <x:c r="B16" s="42" t="str">
        <x:v>BN 63A</x:v>
      </x:c>
      <x:c r="C16" s="42" t="n">
        <x:v>2</x:v>
      </x:c>
      <x:c r="D16" s="42" t="n">
        <x:v>100</x:v>
      </x:c>
      <x:c r="E16" s="42" t="n">
        <x:v>80</x:v>
      </x:c>
      <x:c r="F16" s="42" t="n">
        <x:v>40</x:v>
      </x:c>
      <x:c r="G16" s="42" t="n">
        <x:v>63</x:v>
      </x:c>
      <x:c r="H16" s="42" t="n">
        <x:v>7</x:v>
      </x:c>
      <x:c r="I16" s="42" t="n">
        <x:v>11</x:v>
      </x:c>
      <x:c r="J16" s="42" t="n">
        <x:v>23</x:v>
      </x:c>
      <x:c r="K16" s="42" t="n">
        <x:v>4</x:v>
      </x:c>
      <x:c r="L16" s="44" t="str">
        <x:v>Catalogue_BONFIGLIOLI_Moteur.pdf</x:v>
      </x:c>
      <x:c r="M16" s="44" t="str">
        <x:v>108-115</x:v>
      </x:c>
      <x:c r="N16" s="44" t="str">
        <x:v>Confirmé ; rattachement à la géométrie publiée BN 63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9" hidden="0" customWidth="1"/>
    <x:col min="5" max="5" width="44" hidden="0" customWidth="1"/>
    <x:col min="6" max="6" width="3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42" hidden="0" customWidth="1"/>
  </x:cols>
  <x:sheetData>
    <x:row r="1">
      <x:c r="A1" s="2" t="str">
        <x:v>Moteurs Bonfiglioli intégrés - cotes constructeur publiées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47" t="str">
        <x:v>Les séries M, ME et MX n’ont pas de géométrie IEC autonome A/B/C/H/K/D/E/F. Le tableau conserve leurs cotes d’interface et d’encombrement exactement comme publiées par Bonfiglioli ; une absence IEC est donc non applicable, pas une donnée à inventer.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</x:row>
    <x:row r="4">
      <x:c r="A4" s="49" t="str">
        <x:v>Série</x:v>
      </x:c>
      <x:c r="B4" s="49" t="str">
        <x:v>Produit</x:v>
      </x:c>
      <x:c r="C4" s="49" t="str">
        <x:v>Discriminant DB</x:v>
      </x:c>
      <x:c r="D4" s="49" t="str">
        <x:v>Pôles</x:v>
      </x:c>
      <x:c r="E4" s="49" t="str">
        <x:v>Nature mécanique</x:v>
      </x:c>
      <x:c r="F4" s="49" t="str">
        <x:v>Pages source</x:v>
      </x:c>
      <x:c r="G4" s="49" t="str">
        <x:v>AC</x:v>
      </x:c>
      <x:c r="H4" s="49" t="str">
        <x:v>AD</x:v>
      </x:c>
      <x:c r="I4" s="49" t="str">
        <x:v>AF</x:v>
      </x:c>
      <x:c r="J4" s="49" t="str">
        <x:v>DA</x:v>
      </x:c>
      <x:c r="K4" s="49" t="str">
        <x:v>DB</x:v>
      </x:c>
      <x:c r="L4" s="49" t="str">
        <x:v>EA</x:v>
      </x:c>
      <x:c r="M4" s="49" t="str">
        <x:v>FA</x:v>
      </x:c>
      <x:c r="N4" s="49" t="str">
        <x:v>GC</x:v>
      </x:c>
      <x:c r="O4" s="49" t="str">
        <x:v>J</x:v>
      </x:c>
      <x:c r="P4" s="49" t="str">
        <x:v>LB</x:v>
      </x:c>
      <x:c r="Q4" s="49" t="str">
        <x:v>LC</x:v>
      </x:c>
      <x:c r="R4" s="49" t="str">
        <x:v>LL</x:v>
      </x:c>
      <x:c r="S4" s="49" t="str">
        <x:v>R</x:v>
      </x:c>
      <x:c r="T4" s="49" t="str">
        <x:v>model_key</x:v>
      </x:c>
    </x:row>
    <x:row r="5">
      <x:c r="A5" s="41" t="str">
        <x:v>M</x:v>
      </x:c>
      <x:c r="B5" s="41" t="str">
        <x:v>M 05A</x:v>
      </x:c>
      <x:c r="C5" s="41" t="str">
        <x:v>j-0p0002-m-3p2</x:v>
      </x:c>
      <x:c r="D5" s="41" t="str">
        <x:v>2</x:v>
      </x:c>
      <x:c r="E5" s="43" t="str">
        <x:v>Moteur intégré pour motoréducteur - interface constructeur non IEC</x:v>
      </x:c>
      <x:c r="F5" s="43" t="str">
        <x:v>Catalogue_BONFIGLIOLI_Moteur.pdf p.114</x:v>
      </x:c>
      <x:c r="G5" s="41" t="str">
        <x:v>commun:121</x:v>
      </x:c>
      <x:c r="H5" s="41" t="str">
        <x:v>commun:95</x:v>
      </x:c>
      <x:c r="I5" s="41" t="str">
        <x:v>commun:74</x:v>
      </x:c>
      <x:c r="J5" s="41" t="str">
        <x:v>commun:11</x:v>
      </x:c>
      <x:c r="K5" s="41" t="str">
        <x:v>commun:M4</x:v>
      </x:c>
      <x:c r="L5" s="41" t="str">
        <x:v>commun:23</x:v>
      </x:c>
      <x:c r="M5" s="41" t="str">
        <x:v>commun:4</x:v>
      </x:c>
      <x:c r="N5" s="41" t="str">
        <x:v>commun:12.5</x:v>
      </x:c>
      <x:c r="O5" s="41" t="str">
        <x:v>commun:48</x:v>
      </x:c>
      <x:c r="P5" s="41" t="str">
        <x:v>commun:165</x:v>
      </x:c>
      <x:c r="Q5" s="41" t="str">
        <x:v>commun:191</x:v>
      </x:c>
      <x:c r="R5" s="41" t="str">
        <x:v>commun:80</x:v>
      </x:c>
      <x:c r="S5" s="41" t="str">
        <x:v>commun:96</x:v>
      </x:c>
      <x:c r="T5" s="41" t="str">
        <x:v>bonfiglioli:m05a:j-0p0002-m-3p2</x:v>
      </x:c>
    </x:row>
    <x:row r="6">
      <x:c r="A6" s="41" t="str">
        <x:v>M</x:v>
      </x:c>
      <x:c r="B6" s="41" t="str">
        <x:v>M 05A</x:v>
      </x:c>
      <x:c r="C6" s="41" t="str">
        <x:v>j-0p00034-m-4p3</x:v>
      </x:c>
      <x:c r="D6" s="41" t="str">
        <x:v>6</x:v>
      </x:c>
      <x:c r="E6" s="43" t="str">
        <x:v>Moteur intégré pour motoréducteur - interface constructeur non IEC</x:v>
      </x:c>
      <x:c r="F6" s="43" t="str">
        <x:v>Catalogue_BONFIGLIOLI_Moteur.pdf p.114</x:v>
      </x:c>
      <x:c r="G6" s="41" t="str">
        <x:v>commun:121</x:v>
      </x:c>
      <x:c r="H6" s="41" t="str">
        <x:v>commun:95</x:v>
      </x:c>
      <x:c r="I6" s="41" t="str">
        <x:v>commun:74</x:v>
      </x:c>
      <x:c r="J6" s="41" t="str">
        <x:v>commun:11</x:v>
      </x:c>
      <x:c r="K6" s="41" t="str">
        <x:v>commun:M4</x:v>
      </x:c>
      <x:c r="L6" s="41" t="str">
        <x:v>commun:23</x:v>
      </x:c>
      <x:c r="M6" s="41" t="str">
        <x:v>commun:4</x:v>
      </x:c>
      <x:c r="N6" s="41" t="str">
        <x:v>commun:12.5</x:v>
      </x:c>
      <x:c r="O6" s="41" t="str">
        <x:v>commun:48</x:v>
      </x:c>
      <x:c r="P6" s="41" t="str">
        <x:v>commun:165</x:v>
      </x:c>
      <x:c r="Q6" s="41" t="str">
        <x:v>commun:191</x:v>
      </x:c>
      <x:c r="R6" s="41" t="str">
        <x:v>commun:80</x:v>
      </x:c>
      <x:c r="S6" s="41" t="str">
        <x:v>commun:96</x:v>
      </x:c>
      <x:c r="T6" s="41" t="str">
        <x:v>bonfiglioli:m05a:j-0p00034-m-4p3</x:v>
      </x:c>
    </x:row>
    <x:row r="7">
      <x:c r="A7" s="41" t="str">
        <x:v>M</x:v>
      </x:c>
      <x:c r="B7" s="41" t="str">
        <x:v>M 05B</x:v>
      </x:c>
      <x:c r="C7" s="41" t="str">
        <x:v>j-0p00022999999999999998-m-3p6</x:v>
      </x:c>
      <x:c r="D7" s="41" t="str">
        <x:v>2</x:v>
      </x:c>
      <x:c r="E7" s="43" t="str">
        <x:v>Moteur intégré pour motoréducteur - interface constructeur non IEC</x:v>
      </x:c>
      <x:c r="F7" s="43" t="str">
        <x:v>Catalogue_BONFIGLIOLI_Moteur.pdf p.114</x:v>
      </x:c>
      <x:c r="G7" s="41" t="str">
        <x:v>commun:121</x:v>
      </x:c>
      <x:c r="H7" s="41" t="str">
        <x:v>commun:95</x:v>
      </x:c>
      <x:c r="I7" s="41" t="str">
        <x:v>commun:74</x:v>
      </x:c>
      <x:c r="J7" s="41" t="str">
        <x:v>commun:11</x:v>
      </x:c>
      <x:c r="K7" s="41" t="str">
        <x:v>commun:M4</x:v>
      </x:c>
      <x:c r="L7" s="41" t="str">
        <x:v>commun:23</x:v>
      </x:c>
      <x:c r="M7" s="41" t="str">
        <x:v>commun:4</x:v>
      </x:c>
      <x:c r="N7" s="41" t="str">
        <x:v>commun:12.5</x:v>
      </x:c>
      <x:c r="O7" s="41" t="str">
        <x:v>commun:48</x:v>
      </x:c>
      <x:c r="P7" s="41" t="str">
        <x:v>commun:165</x:v>
      </x:c>
      <x:c r="Q7" s="41" t="str">
        <x:v>commun:191</x:v>
      </x:c>
      <x:c r="R7" s="41" t="str">
        <x:v>commun:80</x:v>
      </x:c>
      <x:c r="S7" s="41" t="str">
        <x:v>commun:96</x:v>
      </x:c>
      <x:c r="T7" s="41" t="str">
        <x:v>bonfiglioli:m05b:j-0p00022999999999999998-m-3p6</x:v>
      </x:c>
    </x:row>
    <x:row r="8">
      <x:c r="A8" s="41" t="str">
        <x:v>M</x:v>
      </x:c>
      <x:c r="B8" s="41" t="str">
        <x:v>M 05B</x:v>
      </x:c>
      <x:c r="C8" s="41" t="str">
        <x:v>j-0p00037000000000000005-m-4p6</x:v>
      </x:c>
      <x:c r="D8" s="41" t="str">
        <x:v>6</x:v>
      </x:c>
      <x:c r="E8" s="43" t="str">
        <x:v>Moteur intégré pour motoréducteur - interface constructeur non IEC</x:v>
      </x:c>
      <x:c r="F8" s="43" t="str">
        <x:v>Catalogue_BONFIGLIOLI_Moteur.pdf p.114</x:v>
      </x:c>
      <x:c r="G8" s="41" t="str">
        <x:v>commun:121</x:v>
      </x:c>
      <x:c r="H8" s="41" t="str">
        <x:v>commun:95</x:v>
      </x:c>
      <x:c r="I8" s="41" t="str">
        <x:v>commun:74</x:v>
      </x:c>
      <x:c r="J8" s="41" t="str">
        <x:v>commun:11</x:v>
      </x:c>
      <x:c r="K8" s="41" t="str">
        <x:v>commun:M4</x:v>
      </x:c>
      <x:c r="L8" s="41" t="str">
        <x:v>commun:23</x:v>
      </x:c>
      <x:c r="M8" s="41" t="str">
        <x:v>commun:4</x:v>
      </x:c>
      <x:c r="N8" s="41" t="str">
        <x:v>commun:12.5</x:v>
      </x:c>
      <x:c r="O8" s="41" t="str">
        <x:v>commun:48</x:v>
      </x:c>
      <x:c r="P8" s="41" t="str">
        <x:v>commun:165</x:v>
      </x:c>
      <x:c r="Q8" s="41" t="str">
        <x:v>commun:191</x:v>
      </x:c>
      <x:c r="R8" s="41" t="str">
        <x:v>commun:80</x:v>
      </x:c>
      <x:c r="S8" s="41" t="str">
        <x:v>commun:96</x:v>
      </x:c>
      <x:c r="T8" s="41" t="str">
        <x:v>bonfiglioli:m05b:j-0p00037000000000000005-m-4p6</x:v>
      </x:c>
    </x:row>
    <x:row r="9">
      <x:c r="A9" s="41" t="str">
        <x:v>M</x:v>
      </x:c>
      <x:c r="B9" s="41" t="str">
        <x:v>M 05C</x:v>
      </x:c>
      <x:c r="C9" s="41" t="str">
        <x:v>j-0p00033-m-4p8</x:v>
      </x:c>
      <x:c r="D9" s="41" t="str">
        <x:v>2</x:v>
      </x:c>
      <x:c r="E9" s="43" t="str">
        <x:v>Moteur intégré pour motoréducteur - interface constructeur non IEC</x:v>
      </x:c>
      <x:c r="F9" s="43" t="str">
        <x:v>Catalogue_BONFIGLIOLI_Moteur.pdf p.114</x:v>
      </x:c>
      <x:c r="G9" s="41" t="str">
        <x:v>commun:121</x:v>
      </x:c>
      <x:c r="H9" s="41" t="str">
        <x:v>commun:95</x:v>
      </x:c>
      <x:c r="I9" s="41" t="str">
        <x:v>commun:74</x:v>
      </x:c>
      <x:c r="J9" s="41" t="str">
        <x:v>commun:11</x:v>
      </x:c>
      <x:c r="K9" s="41" t="str">
        <x:v>commun:M4</x:v>
      </x:c>
      <x:c r="L9" s="41" t="str">
        <x:v>commun:23</x:v>
      </x:c>
      <x:c r="M9" s="41" t="str">
        <x:v>commun:4</x:v>
      </x:c>
      <x:c r="N9" s="41" t="str">
        <x:v>commun:12.5</x:v>
      </x:c>
      <x:c r="O9" s="41" t="str">
        <x:v>commun:48</x:v>
      </x:c>
      <x:c r="P9" s="41" t="str">
        <x:v>commun:165</x:v>
      </x:c>
      <x:c r="Q9" s="41" t="str">
        <x:v>commun:191</x:v>
      </x:c>
      <x:c r="R9" s="41" t="str">
        <x:v>commun:80</x:v>
      </x:c>
      <x:c r="S9" s="41" t="str">
        <x:v>commun:96</x:v>
      </x:c>
      <x:c r="T9" s="41" t="str">
        <x:v>bonfiglioli:m05c:j-0p00033-m-4p8</x:v>
      </x:c>
    </x:row>
    <x:row r="10">
      <x:c r="A10" s="41" t="str">
        <x:v>M</x:v>
      </x:c>
      <x:c r="B10" s="41" t="str">
        <x:v>M 0B</x:v>
      </x:c>
      <x:c r="C10" s="41" t="str">
        <x:v>j-0p00015000000000000001-m-2p9</x:v>
      </x:c>
      <x:c r="D10" s="41" t="str">
        <x:v>4</x:v>
      </x:c>
      <x:c r="E10" s="43" t="str">
        <x:v>Moteur intégré pour motoréducteur - interface constructeur non IEC</x:v>
      </x:c>
      <x:c r="F10" s="43" t="str">
        <x:v>Catalogue_BONFIGLIOLI_Moteur.pdf p.114</x:v>
      </x:c>
      <x:c r="G10" s="41" t="str">
        <x:v>commun:110</x:v>
      </x:c>
      <x:c r="H10" s="41" t="str">
        <x:v>commun:91</x:v>
      </x:c>
      <x:c r="I10" s="41" t="str">
        <x:v>commun:74</x:v>
      </x:c>
      <x:c r="J10" s="41" t="str">
        <x:v>commun:9</x:v>
      </x:c>
      <x:c r="K10" s="41" t="str">
        <x:v>commun:M3</x:v>
      </x:c>
      <x:c r="L10" s="41" t="str">
        <x:v>commun:20</x:v>
      </x:c>
      <x:c r="M10" s="41" t="str">
        <x:v>commun:3</x:v>
      </x:c>
      <x:c r="N10" s="41" t="str">
        <x:v>commun:10.2</x:v>
      </x:c>
      <x:c r="O10" s="41" t="str">
        <x:v>commun:42</x:v>
      </x:c>
      <x:c r="P10" s="41" t="str">
        <x:v>commun:133</x:v>
      </x:c>
      <x:c r="Q10" s="41" t="str">
        <x:v>commun:155</x:v>
      </x:c>
      <x:c r="R10" s="41" t="str">
        <x:v>commun:80</x:v>
      </x:c>
      <x:c r="S10" s="41" t="str"/>
      <x:c r="T10" s="41" t="str">
        <x:v>bonfiglioli:m0b:j-0p00015000000000000001-m-2p9</x:v>
      </x:c>
    </x:row>
    <x:row r="11">
      <x:c r="A11" s="41" t="str">
        <x:v>M</x:v>
      </x:c>
      <x:c r="B11" s="41" t="str">
        <x:v>M 1LA</x:v>
      </x:c>
      <x:c r="C11" s="41" t="str">
        <x:v>j-0p0005-m-6p9</x:v>
      </x:c>
      <x:c r="D11" s="41" t="str">
        <x:v>2</x:v>
      </x:c>
      <x:c r="E11" s="43" t="str">
        <x:v>Moteur intégré pour motoréducteur - interface constructeur non IEC</x:v>
      </x:c>
      <x:c r="F11" s="43" t="str">
        <x:v>Catalogue_BONFIGLIOLI_Moteur.pdf p.114</x:v>
      </x:c>
      <x:c r="G11" s="41" t="str">
        <x:v>commun:138</x:v>
      </x:c>
      <x:c r="H11" s="41" t="str">
        <x:v>commun:108</x:v>
      </x:c>
      <x:c r="I11" s="41" t="str">
        <x:v>commun:74</x:v>
      </x:c>
      <x:c r="J11" s="41" t="str">
        <x:v>commun:14</x:v>
      </x:c>
      <x:c r="K11" s="41" t="str">
        <x:v>commun:M5</x:v>
      </x:c>
      <x:c r="L11" s="41" t="str">
        <x:v>commun:30</x:v>
      </x:c>
      <x:c r="M11" s="41" t="str">
        <x:v>commun:5</x:v>
      </x:c>
      <x:c r="N11" s="41" t="str">
        <x:v>commun:16</x:v>
      </x:c>
      <x:c r="O11" s="41" t="str">
        <x:v>commun:45</x:v>
      </x:c>
      <x:c r="P11" s="41" t="str">
        <x:v>commun:187</x:v>
      </x:c>
      <x:c r="Q11" s="41" t="str">
        <x:v>commun:219</x:v>
      </x:c>
      <x:c r="R11" s="41" t="str">
        <x:v>commun:80</x:v>
      </x:c>
      <x:c r="S11" s="41" t="str">
        <x:v>commun:103</x:v>
      </x:c>
      <x:c r="T11" s="41" t="str">
        <x:v>bonfiglioli:m1la:j-0p0005-m-6p9</x:v>
      </x:c>
    </x:row>
    <x:row r="12">
      <x:c r="A12" s="41" t="str">
        <x:v>M</x:v>
      </x:c>
      <x:c r="B12" s="41" t="str">
        <x:v>M 1LA</x:v>
      </x:c>
      <x:c r="C12" s="41" t="str">
        <x:v>j-0p00091-m-6p9</x:v>
      </x:c>
      <x:c r="D12" s="41" t="str">
        <x:v>4</x:v>
      </x:c>
      <x:c r="E12" s="43" t="str">
        <x:v>Moteur intégré pour motoréducteur - interface constructeur non IEC</x:v>
      </x:c>
      <x:c r="F12" s="43" t="str">
        <x:v>Catalogue_BONFIGLIOLI_Moteur.pdf p.114</x:v>
      </x:c>
      <x:c r="G12" s="41" t="str">
        <x:v>commun:138</x:v>
      </x:c>
      <x:c r="H12" s="41" t="str">
        <x:v>commun:108</x:v>
      </x:c>
      <x:c r="I12" s="41" t="str">
        <x:v>commun:74</x:v>
      </x:c>
      <x:c r="J12" s="41" t="str">
        <x:v>commun:14</x:v>
      </x:c>
      <x:c r="K12" s="41" t="str">
        <x:v>commun:M5</x:v>
      </x:c>
      <x:c r="L12" s="41" t="str">
        <x:v>commun:30</x:v>
      </x:c>
      <x:c r="M12" s="41" t="str">
        <x:v>commun:5</x:v>
      </x:c>
      <x:c r="N12" s="41" t="str">
        <x:v>commun:16</x:v>
      </x:c>
      <x:c r="O12" s="41" t="str">
        <x:v>commun:45</x:v>
      </x:c>
      <x:c r="P12" s="41" t="str">
        <x:v>commun:187</x:v>
      </x:c>
      <x:c r="Q12" s="41" t="str">
        <x:v>commun:219</x:v>
      </x:c>
      <x:c r="R12" s="41" t="str">
        <x:v>commun:80</x:v>
      </x:c>
      <x:c r="S12" s="41" t="str">
        <x:v>commun:103</x:v>
      </x:c>
      <x:c r="T12" s="41" t="str">
        <x:v>bonfiglioli:m1la:j-0p00091-m-6p9</x:v>
      </x:c>
    </x:row>
    <x:row r="13">
      <x:c r="A13" s="41" t="str">
        <x:v>M</x:v>
      </x:c>
      <x:c r="B13" s="41" t="str">
        <x:v>M 1LA</x:v>
      </x:c>
      <x:c r="C13" s="41" t="str">
        <x:v>j-0p0012900000000000001-m-7p3</x:v>
      </x:c>
      <x:c r="D13" s="41" t="str">
        <x:v>6</x:v>
      </x:c>
      <x:c r="E13" s="43" t="str">
        <x:v>Moteur intégré pour motoréducteur - interface constructeur non IEC</x:v>
      </x:c>
      <x:c r="F13" s="43" t="str">
        <x:v>Catalogue_BONFIGLIOLI_Moteur.pdf p.114</x:v>
      </x:c>
      <x:c r="G13" s="41" t="str">
        <x:v>commun:138</x:v>
      </x:c>
      <x:c r="H13" s="41" t="str">
        <x:v>commun:108</x:v>
      </x:c>
      <x:c r="I13" s="41" t="str">
        <x:v>commun:74</x:v>
      </x:c>
      <x:c r="J13" s="41" t="str">
        <x:v>commun:14</x:v>
      </x:c>
      <x:c r="K13" s="41" t="str">
        <x:v>commun:M5</x:v>
      </x:c>
      <x:c r="L13" s="41" t="str">
        <x:v>commun:30</x:v>
      </x:c>
      <x:c r="M13" s="41" t="str">
        <x:v>commun:5</x:v>
      </x:c>
      <x:c r="N13" s="41" t="str">
        <x:v>commun:16</x:v>
      </x:c>
      <x:c r="O13" s="41" t="str">
        <x:v>commun:45</x:v>
      </x:c>
      <x:c r="P13" s="41" t="str">
        <x:v>commun:187</x:v>
      </x:c>
      <x:c r="Q13" s="41" t="str">
        <x:v>commun:219</x:v>
      </x:c>
      <x:c r="R13" s="41" t="str">
        <x:v>commun:80</x:v>
      </x:c>
      <x:c r="S13" s="41" t="str">
        <x:v>commun:103</x:v>
      </x:c>
      <x:c r="T13" s="41" t="str">
        <x:v>bonfiglioli:m1la:j-0p0012900000000000001-m-7p3</x:v>
      </x:c>
    </x:row>
    <x:row r="14">
      <x:c r="A14" s="41" t="str">
        <x:v>M</x:v>
      </x:c>
      <x:c r="B14" s="41" t="str">
        <x:v>M 1SC</x:v>
      </x:c>
      <x:c r="C14" s="41" t="str">
        <x:v>j-0p00084-m-5p1</x:v>
      </x:c>
      <x:c r="D14" s="41" t="str">
        <x:v>6</x:v>
      </x:c>
      <x:c r="E14" s="43" t="str">
        <x:v>Moteur intégré pour motoréducteur - interface constructeur non IEC</x:v>
      </x:c>
      <x:c r="F14" s="43" t="str">
        <x:v>Catalogue_BONFIGLIOLI_Moteur.pdf p.114</x:v>
      </x:c>
      <x:c r="G14" s="41" t="str">
        <x:v>commun:138</x:v>
      </x:c>
      <x:c r="H14" s="41" t="str">
        <x:v>commun:108</x:v>
      </x:c>
      <x:c r="I14" s="41" t="str">
        <x:v>commun:74</x:v>
      </x:c>
      <x:c r="J14" s="41" t="str">
        <x:v>commun:14</x:v>
      </x:c>
      <x:c r="K14" s="41" t="str">
        <x:v>commun:M5</x:v>
      </x:c>
      <x:c r="L14" s="41" t="str">
        <x:v>commun:30</x:v>
      </x:c>
      <x:c r="M14" s="41" t="str">
        <x:v>commun:5</x:v>
      </x:c>
      <x:c r="N14" s="41" t="str">
        <x:v>commun:16</x:v>
      </x:c>
      <x:c r="O14" s="41" t="str">
        <x:v>commun:45</x:v>
      </x:c>
      <x:c r="P14" s="41" t="str">
        <x:v>commun:187</x:v>
      </x:c>
      <x:c r="Q14" s="41" t="str">
        <x:v>commun:219</x:v>
      </x:c>
      <x:c r="R14" s="41" t="str">
        <x:v>commun:80</x:v>
      </x:c>
      <x:c r="S14" s="41" t="str">
        <x:v>commun:103</x:v>
      </x:c>
      <x:c r="T14" s="41" t="str">
        <x:v>bonfiglioli:m1sc:j-0p00084-m-5p1</x:v>
      </x:c>
    </x:row>
    <x:row r="15">
      <x:c r="A15" s="41" t="str">
        <x:v>M</x:v>
      </x:c>
      <x:c r="B15" s="41" t="str">
        <x:v>M 1SD</x:v>
      </x:c>
      <x:c r="C15" s="41" t="str">
        <x:v>j-0p00041-m-5p8</x:v>
      </x:c>
      <x:c r="D15" s="41" t="str">
        <x:v>2</x:v>
      </x:c>
      <x:c r="E15" s="43" t="str">
        <x:v>Moteur intégré pour motoréducteur - interface constructeur non IEC</x:v>
      </x:c>
      <x:c r="F15" s="43" t="str">
        <x:v>Catalogue_BONFIGLIOLI_Moteur.pdf p.114</x:v>
      </x:c>
      <x:c r="G15" s="41" t="str">
        <x:v>commun:138</x:v>
      </x:c>
      <x:c r="H15" s="41" t="str">
        <x:v>commun:108</x:v>
      </x:c>
      <x:c r="I15" s="41" t="str">
        <x:v>commun:74</x:v>
      </x:c>
      <x:c r="J15" s="41" t="str">
        <x:v>commun:14</x:v>
      </x:c>
      <x:c r="K15" s="41" t="str">
        <x:v>commun:M5</x:v>
      </x:c>
      <x:c r="L15" s="41" t="str">
        <x:v>commun:30</x:v>
      </x:c>
      <x:c r="M15" s="41" t="str">
        <x:v>commun:5</x:v>
      </x:c>
      <x:c r="N15" s="41" t="str">
        <x:v>commun:16</x:v>
      </x:c>
      <x:c r="O15" s="41" t="str">
        <x:v>commun:45</x:v>
      </x:c>
      <x:c r="P15" s="41" t="str">
        <x:v>commun:187</x:v>
      </x:c>
      <x:c r="Q15" s="41" t="str">
        <x:v>commun:219</x:v>
      </x:c>
      <x:c r="R15" s="41" t="str">
        <x:v>commun:80</x:v>
      </x:c>
      <x:c r="S15" s="41" t="str">
        <x:v>commun:103</x:v>
      </x:c>
      <x:c r="T15" s="41" t="str">
        <x:v>bonfiglioli:m1sd:j-0p00041-m-5p8</x:v>
      </x:c>
    </x:row>
    <x:row r="16">
      <x:c r="A16" s="41" t="str">
        <x:v>M</x:v>
      </x:c>
      <x:c r="B16" s="41" t="str">
        <x:v>M 1SD</x:v>
      </x:c>
      <x:c r="C16" s="41" t="str">
        <x:v>j-0p0006900000000000001-m-5p5</x:v>
      </x:c>
      <x:c r="D16" s="41" t="str">
        <x:v>4</x:v>
      </x:c>
      <x:c r="E16" s="43" t="str">
        <x:v>Moteur intégré pour motoréducteur - interface constructeur non IEC</x:v>
      </x:c>
      <x:c r="F16" s="43" t="str">
        <x:v>Catalogue_BONFIGLIOLI_Moteur.pdf p.114</x:v>
      </x:c>
      <x:c r="G16" s="41" t="str">
        <x:v>commun:138</x:v>
      </x:c>
      <x:c r="H16" s="41" t="str">
        <x:v>commun:108</x:v>
      </x:c>
      <x:c r="I16" s="41" t="str">
        <x:v>commun:74</x:v>
      </x:c>
      <x:c r="J16" s="41" t="str">
        <x:v>commun:14</x:v>
      </x:c>
      <x:c r="K16" s="41" t="str">
        <x:v>commun:M5</x:v>
      </x:c>
      <x:c r="L16" s="41" t="str">
        <x:v>commun:30</x:v>
      </x:c>
      <x:c r="M16" s="41" t="str">
        <x:v>commun:5</x:v>
      </x:c>
      <x:c r="N16" s="41" t="str">
        <x:v>commun:16</x:v>
      </x:c>
      <x:c r="O16" s="41" t="str">
        <x:v>commun:45</x:v>
      </x:c>
      <x:c r="P16" s="41" t="str">
        <x:v>commun:187</x:v>
      </x:c>
      <x:c r="Q16" s="41" t="str">
        <x:v>commun:219</x:v>
      </x:c>
      <x:c r="R16" s="41" t="str">
        <x:v>commun:80</x:v>
      </x:c>
      <x:c r="S16" s="41" t="str">
        <x:v>commun:103</x:v>
      </x:c>
      <x:c r="T16" s="41" t="str">
        <x:v>bonfiglioli:m1sd:j-0p0006900000000000001-m-5p5</x:v>
      </x:c>
    </x:row>
    <x:row r="17">
      <x:c r="A17" s="41" t="str">
        <x:v>M</x:v>
      </x:c>
      <x:c r="B17" s="41" t="str">
        <x:v>M 1SD</x:v>
      </x:c>
      <x:c r="C17" s="41" t="str">
        <x:v>j-0p00109-m-6p3</x:v>
      </x:c>
      <x:c r="D17" s="41" t="str">
        <x:v>6</x:v>
      </x:c>
      <x:c r="E17" s="43" t="str">
        <x:v>Moteur intégré pour motoréducteur - interface constructeur non IEC</x:v>
      </x:c>
      <x:c r="F17" s="43" t="str">
        <x:v>Catalogue_BONFIGLIOLI_Moteur.pdf p.114</x:v>
      </x:c>
      <x:c r="G17" s="41" t="str">
        <x:v>commun:138</x:v>
      </x:c>
      <x:c r="H17" s="41" t="str">
        <x:v>commun:108</x:v>
      </x:c>
      <x:c r="I17" s="41" t="str">
        <x:v>commun:74</x:v>
      </x:c>
      <x:c r="J17" s="41" t="str">
        <x:v>commun:14</x:v>
      </x:c>
      <x:c r="K17" s="41" t="str">
        <x:v>commun:M5</x:v>
      </x:c>
      <x:c r="L17" s="41" t="str">
        <x:v>commun:30</x:v>
      </x:c>
      <x:c r="M17" s="41" t="str">
        <x:v>commun:5</x:v>
      </x:c>
      <x:c r="N17" s="41" t="str">
        <x:v>commun:16</x:v>
      </x:c>
      <x:c r="O17" s="41" t="str">
        <x:v>commun:45</x:v>
      </x:c>
      <x:c r="P17" s="41" t="str">
        <x:v>commun:187</x:v>
      </x:c>
      <x:c r="Q17" s="41" t="str">
        <x:v>commun:219</x:v>
      </x:c>
      <x:c r="R17" s="41" t="str">
        <x:v>commun:80</x:v>
      </x:c>
      <x:c r="S17" s="41" t="str">
        <x:v>commun:103</x:v>
      </x:c>
      <x:c r="T17" s="41" t="str">
        <x:v>bonfiglioli:m1sd:j-0p00109-m-6p3</x:v>
      </x:c>
    </x:row>
    <x:row r="18">
      <x:c r="A18" s="41" t="str">
        <x:v>M</x:v>
      </x:c>
      <x:c r="B18" s="41" t="str">
        <x:v>M 2SA</x:v>
      </x:c>
      <x:c r="C18" s="41" t="str">
        <x:v>j-0p0009000000000000001-m-8p8</x:v>
      </x:c>
      <x:c r="D18" s="41" t="str">
        <x:v>2</x:v>
      </x:c>
      <x:c r="E18" s="43" t="str">
        <x:v>Moteur intégré pour motoréducteur - interface constructeur non IEC</x:v>
      </x:c>
      <x:c r="F18" s="43" t="str">
        <x:v>Catalogue_BONFIGLIOLI_Moteur.pdf p.114</x:v>
      </x:c>
      <x:c r="G18" s="41" t="str">
        <x:v>commun:156</x:v>
      </x:c>
      <x:c r="H18" s="41" t="str">
        <x:v>commun:119</x:v>
      </x:c>
      <x:c r="I18" s="41" t="str">
        <x:v>commun:74</x:v>
      </x:c>
      <x:c r="J18" s="41" t="str">
        <x:v>commun:19</x:v>
      </x:c>
      <x:c r="K18" s="41" t="str">
        <x:v>commun:M6</x:v>
      </x:c>
      <x:c r="L18" s="41" t="str">
        <x:v>commun:40</x:v>
      </x:c>
      <x:c r="M18" s="41" t="str">
        <x:v>commun:6</x:v>
      </x:c>
      <x:c r="N18" s="41" t="str">
        <x:v>commun:21.5</x:v>
      </x:c>
      <x:c r="O18" s="41" t="str">
        <x:v>commun:44</x:v>
      </x:c>
      <x:c r="P18" s="41" t="str">
        <x:v>commun:202</x:v>
      </x:c>
      <x:c r="Q18" s="41" t="str">
        <x:v>commun:245</x:v>
      </x:c>
      <x:c r="R18" s="41" t="str">
        <x:v>commun:80</x:v>
      </x:c>
      <x:c r="S18" s="41" t="str">
        <x:v>commun:129</x:v>
      </x:c>
      <x:c r="T18" s="41" t="str">
        <x:v>bonfiglioli:m2sa:j-0p0009000000000000001-m-8p8</x:v>
      </x:c>
    </x:row>
    <x:row r="19">
      <x:c r="A19" s="41" t="str">
        <x:v>M</x:v>
      </x:c>
      <x:c r="B19" s="41" t="str">
        <x:v>M 2SA</x:v>
      </x:c>
      <x:c r="C19" s="41" t="str">
        <x:v>j-0p002-m-9p1</x:v>
      </x:c>
      <x:c r="D19" s="41" t="str">
        <x:v>4</x:v>
      </x:c>
      <x:c r="E19" s="43" t="str">
        <x:v>Moteur intégré pour motoréducteur - interface constructeur non IEC</x:v>
      </x:c>
      <x:c r="F19" s="43" t="str">
        <x:v>Catalogue_BONFIGLIOLI_Moteur.pdf p.114</x:v>
      </x:c>
      <x:c r="G19" s="41" t="str">
        <x:v>commun:156</x:v>
      </x:c>
      <x:c r="H19" s="41" t="str">
        <x:v>commun:119</x:v>
      </x:c>
      <x:c r="I19" s="41" t="str">
        <x:v>commun:74</x:v>
      </x:c>
      <x:c r="J19" s="41" t="str">
        <x:v>commun:19</x:v>
      </x:c>
      <x:c r="K19" s="41" t="str">
        <x:v>commun:M6</x:v>
      </x:c>
      <x:c r="L19" s="41" t="str">
        <x:v>commun:40</x:v>
      </x:c>
      <x:c r="M19" s="41" t="str">
        <x:v>commun:6</x:v>
      </x:c>
      <x:c r="N19" s="41" t="str">
        <x:v>commun:21.5</x:v>
      </x:c>
      <x:c r="O19" s="41" t="str">
        <x:v>commun:44</x:v>
      </x:c>
      <x:c r="P19" s="41" t="str">
        <x:v>commun:202</x:v>
      </x:c>
      <x:c r="Q19" s="41" t="str">
        <x:v>commun:245</x:v>
      </x:c>
      <x:c r="R19" s="41" t="str">
        <x:v>commun:80</x:v>
      </x:c>
      <x:c r="S19" s="41" t="str">
        <x:v>commun:129</x:v>
      </x:c>
      <x:c r="T19" s="41" t="str">
        <x:v>bonfiglioli:m2sa:j-0p002-m-9p1</x:v>
      </x:c>
    </x:row>
    <x:row r="20">
      <x:c r="A20" s="41" t="str">
        <x:v>M</x:v>
      </x:c>
      <x:c r="B20" s="41" t="str">
        <x:v>M 2SA</x:v>
      </x:c>
      <x:c r="C20" s="41" t="str">
        <x:v>j-0p002-m-9p2</x:v>
      </x:c>
      <x:c r="D20" s="41" t="str">
        <x:v>4</x:v>
      </x:c>
      <x:c r="E20" s="43" t="str">
        <x:v>Moteur intégré pour motoréducteur - interface constructeur non IEC</x:v>
      </x:c>
      <x:c r="F20" s="43" t="str">
        <x:v>Catalogue_BONFIGLIOLI_Moteur.pdf p.114</x:v>
      </x:c>
      <x:c r="G20" s="41" t="str">
        <x:v>commun:156</x:v>
      </x:c>
      <x:c r="H20" s="41" t="str">
        <x:v>commun:119</x:v>
      </x:c>
      <x:c r="I20" s="41" t="str">
        <x:v>commun:74</x:v>
      </x:c>
      <x:c r="J20" s="41" t="str">
        <x:v>commun:19</x:v>
      </x:c>
      <x:c r="K20" s="41" t="str">
        <x:v>commun:M6</x:v>
      </x:c>
      <x:c r="L20" s="41" t="str">
        <x:v>commun:40</x:v>
      </x:c>
      <x:c r="M20" s="41" t="str">
        <x:v>commun:6</x:v>
      </x:c>
      <x:c r="N20" s="41" t="str">
        <x:v>commun:21.5</x:v>
      </x:c>
      <x:c r="O20" s="41" t="str">
        <x:v>commun:44</x:v>
      </x:c>
      <x:c r="P20" s="41" t="str">
        <x:v>commun:202</x:v>
      </x:c>
      <x:c r="Q20" s="41" t="str">
        <x:v>commun:245</x:v>
      </x:c>
      <x:c r="R20" s="41" t="str">
        <x:v>commun:80</x:v>
      </x:c>
      <x:c r="S20" s="41" t="str">
        <x:v>commun:129</x:v>
      </x:c>
      <x:c r="T20" s="41" t="str">
        <x:v>bonfiglioli:m2sa:j-0p002-m-9p2</x:v>
      </x:c>
    </x:row>
    <x:row r="21">
      <x:c r="A21" s="41" t="str">
        <x:v>M</x:v>
      </x:c>
      <x:c r="B21" s="41" t="str">
        <x:v>M 2SA</x:v>
      </x:c>
      <x:c r="C21" s="41" t="str">
        <x:v>j-0p0025-m-10p6</x:v>
      </x:c>
      <x:c r="D21" s="41" t="str">
        <x:v>6</x:v>
      </x:c>
      <x:c r="E21" s="43" t="str">
        <x:v>Moteur intégré pour motoréducteur - interface constructeur non IEC</x:v>
      </x:c>
      <x:c r="F21" s="43" t="str">
        <x:v>Catalogue_BONFIGLIOLI_Moteur.pdf p.114</x:v>
      </x:c>
      <x:c r="G21" s="41" t="str">
        <x:v>commun:156</x:v>
      </x:c>
      <x:c r="H21" s="41" t="str">
        <x:v>commun:119</x:v>
      </x:c>
      <x:c r="I21" s="41" t="str">
        <x:v>commun:74</x:v>
      </x:c>
      <x:c r="J21" s="41" t="str">
        <x:v>commun:19</x:v>
      </x:c>
      <x:c r="K21" s="41" t="str">
        <x:v>commun:M6</x:v>
      </x:c>
      <x:c r="L21" s="41" t="str">
        <x:v>commun:40</x:v>
      </x:c>
      <x:c r="M21" s="41" t="str">
        <x:v>commun:6</x:v>
      </x:c>
      <x:c r="N21" s="41" t="str">
        <x:v>commun:21.5</x:v>
      </x:c>
      <x:c r="O21" s="41" t="str">
        <x:v>commun:44</x:v>
      </x:c>
      <x:c r="P21" s="41" t="str">
        <x:v>commun:202</x:v>
      </x:c>
      <x:c r="Q21" s="41" t="str">
        <x:v>commun:245</x:v>
      </x:c>
      <x:c r="R21" s="41" t="str">
        <x:v>commun:80</x:v>
      </x:c>
      <x:c r="S21" s="41" t="str">
        <x:v>commun:129</x:v>
      </x:c>
      <x:c r="T21" s="41" t="str">
        <x:v>bonfiglioli:m2sa:j-0p0025-m-10p6</x:v>
      </x:c>
    </x:row>
    <x:row r="22">
      <x:c r="A22" s="41" t="str">
        <x:v>M</x:v>
      </x:c>
      <x:c r="B22" s="41" t="str">
        <x:v>M 2SB</x:v>
      </x:c>
      <x:c r="C22" s="41" t="str">
        <x:v>j-0p0011400000000000002-m-10p4</x:v>
      </x:c>
      <x:c r="D22" s="41" t="str">
        <x:v>2</x:v>
      </x:c>
      <x:c r="E22" s="43" t="str">
        <x:v>Moteur intégré pour motoréducteur - interface constructeur non IEC</x:v>
      </x:c>
      <x:c r="F22" s="43" t="str">
        <x:v>Catalogue_BONFIGLIOLI_Moteur.pdf p.114</x:v>
      </x:c>
      <x:c r="G22" s="41" t="str">
        <x:v>commun:156</x:v>
      </x:c>
      <x:c r="H22" s="41" t="str">
        <x:v>commun:119</x:v>
      </x:c>
      <x:c r="I22" s="41" t="str">
        <x:v>commun:74</x:v>
      </x:c>
      <x:c r="J22" s="41" t="str">
        <x:v>commun:19</x:v>
      </x:c>
      <x:c r="K22" s="41" t="str">
        <x:v>commun:M6</x:v>
      </x:c>
      <x:c r="L22" s="41" t="str">
        <x:v>commun:40</x:v>
      </x:c>
      <x:c r="M22" s="41" t="str">
        <x:v>commun:6</x:v>
      </x:c>
      <x:c r="N22" s="41" t="str">
        <x:v>commun:21.5</x:v>
      </x:c>
      <x:c r="O22" s="41" t="str">
        <x:v>commun:44</x:v>
      </x:c>
      <x:c r="P22" s="41" t="str">
        <x:v>commun:202</x:v>
      </x:c>
      <x:c r="Q22" s="41" t="str">
        <x:v>commun:245</x:v>
      </x:c>
      <x:c r="R22" s="41" t="str">
        <x:v>commun:80</x:v>
      </x:c>
      <x:c r="S22" s="41" t="str">
        <x:v>commun:129</x:v>
      </x:c>
      <x:c r="T22" s="41" t="str">
        <x:v>bonfiglioli:m2sb:j-0p0011400000000000002-m-10p4</x:v>
      </x:c>
    </x:row>
    <x:row r="23">
      <x:c r="A23" s="41" t="str">
        <x:v>M</x:v>
      </x:c>
      <x:c r="B23" s="41" t="str">
        <x:v>M 2SB</x:v>
      </x:c>
      <x:c r="C23" s="41" t="str">
        <x:v>j-0p0011400000000000002-m-10p6</x:v>
      </x:c>
      <x:c r="D23" s="41" t="str">
        <x:v>2</x:v>
      </x:c>
      <x:c r="E23" s="43" t="str">
        <x:v>Moteur intégré pour motoréducteur - interface constructeur non IEC</x:v>
      </x:c>
      <x:c r="F23" s="43" t="str">
        <x:v>Catalogue_BONFIGLIOLI_Moteur.pdf p.114</x:v>
      </x:c>
      <x:c r="G23" s="41" t="str">
        <x:v>commun:156</x:v>
      </x:c>
      <x:c r="H23" s="41" t="str">
        <x:v>commun:119</x:v>
      </x:c>
      <x:c r="I23" s="41" t="str">
        <x:v>commun:74</x:v>
      </x:c>
      <x:c r="J23" s="41" t="str">
        <x:v>commun:19</x:v>
      </x:c>
      <x:c r="K23" s="41" t="str">
        <x:v>commun:M6</x:v>
      </x:c>
      <x:c r="L23" s="41" t="str">
        <x:v>commun:40</x:v>
      </x:c>
      <x:c r="M23" s="41" t="str">
        <x:v>commun:6</x:v>
      </x:c>
      <x:c r="N23" s="41" t="str">
        <x:v>commun:21.5</x:v>
      </x:c>
      <x:c r="O23" s="41" t="str">
        <x:v>commun:44</x:v>
      </x:c>
      <x:c r="P23" s="41" t="str">
        <x:v>commun:202</x:v>
      </x:c>
      <x:c r="Q23" s="41" t="str">
        <x:v>commun:245</x:v>
      </x:c>
      <x:c r="R23" s="41" t="str">
        <x:v>commun:80</x:v>
      </x:c>
      <x:c r="S23" s="41" t="str">
        <x:v>commun:129</x:v>
      </x:c>
      <x:c r="T23" s="41" t="str">
        <x:v>bonfiglioli:m2sb:j-0p0011400000000000002-m-10p6</x:v>
      </x:c>
    </x:row>
    <x:row r="24">
      <x:c r="A24" s="41" t="str">
        <x:v>M</x:v>
      </x:c>
      <x:c r="B24" s="41" t="str">
        <x:v>M 2SB</x:v>
      </x:c>
      <x:c r="C24" s="41" t="str">
        <x:v>j-0p0025-m-10p4</x:v>
      </x:c>
      <x:c r="D24" s="41" t="str">
        <x:v>4</x:v>
      </x:c>
      <x:c r="E24" s="43" t="str">
        <x:v>Moteur intégré pour motoréducteur - interface constructeur non IEC</x:v>
      </x:c>
      <x:c r="F24" s="43" t="str">
        <x:v>Catalogue_BONFIGLIOLI_Moteur.pdf p.114</x:v>
      </x:c>
      <x:c r="G24" s="41" t="str">
        <x:v>commun:156</x:v>
      </x:c>
      <x:c r="H24" s="41" t="str">
        <x:v>commun:119</x:v>
      </x:c>
      <x:c r="I24" s="41" t="str">
        <x:v>commun:74</x:v>
      </x:c>
      <x:c r="J24" s="41" t="str">
        <x:v>commun:19</x:v>
      </x:c>
      <x:c r="K24" s="41" t="str">
        <x:v>commun:M6</x:v>
      </x:c>
      <x:c r="L24" s="41" t="str">
        <x:v>commun:40</x:v>
      </x:c>
      <x:c r="M24" s="41" t="str">
        <x:v>commun:6</x:v>
      </x:c>
      <x:c r="N24" s="41" t="str">
        <x:v>commun:21.5</x:v>
      </x:c>
      <x:c r="O24" s="41" t="str">
        <x:v>commun:44</x:v>
      </x:c>
      <x:c r="P24" s="41" t="str">
        <x:v>commun:202</x:v>
      </x:c>
      <x:c r="Q24" s="41" t="str">
        <x:v>commun:245</x:v>
      </x:c>
      <x:c r="R24" s="41" t="str">
        <x:v>commun:80</x:v>
      </x:c>
      <x:c r="S24" s="41" t="str">
        <x:v>commun:129</x:v>
      </x:c>
      <x:c r="T24" s="41" t="str">
        <x:v>bonfiglioli:m2sb:j-0p0025-m-10p4</x:v>
      </x:c>
    </x:row>
    <x:row r="25">
      <x:c r="A25" s="41" t="str">
        <x:v>M</x:v>
      </x:c>
      <x:c r="B25" s="41" t="str">
        <x:v>M 2SB</x:v>
      </x:c>
      <x:c r="C25" s="41" t="str">
        <x:v>j-0p0025-m-10p6</x:v>
      </x:c>
      <x:c r="D25" s="41" t="str">
        <x:v>4</x:v>
      </x:c>
      <x:c r="E25" s="43" t="str">
        <x:v>Moteur intégré pour motoréducteur - interface constructeur non IEC</x:v>
      </x:c>
      <x:c r="F25" s="43" t="str">
        <x:v>Catalogue_BONFIGLIOLI_Moteur.pdf p.114</x:v>
      </x:c>
      <x:c r="G25" s="41" t="str">
        <x:v>commun:156</x:v>
      </x:c>
      <x:c r="H25" s="41" t="str">
        <x:v>commun:119</x:v>
      </x:c>
      <x:c r="I25" s="41" t="str">
        <x:v>commun:74</x:v>
      </x:c>
      <x:c r="J25" s="41" t="str">
        <x:v>commun:19</x:v>
      </x:c>
      <x:c r="K25" s="41" t="str">
        <x:v>commun:M6</x:v>
      </x:c>
      <x:c r="L25" s="41" t="str">
        <x:v>commun:40</x:v>
      </x:c>
      <x:c r="M25" s="41" t="str">
        <x:v>commun:6</x:v>
      </x:c>
      <x:c r="N25" s="41" t="str">
        <x:v>commun:21.5</x:v>
      </x:c>
      <x:c r="O25" s="41" t="str">
        <x:v>commun:44</x:v>
      </x:c>
      <x:c r="P25" s="41" t="str">
        <x:v>commun:202</x:v>
      </x:c>
      <x:c r="Q25" s="41" t="str">
        <x:v>commun:245</x:v>
      </x:c>
      <x:c r="R25" s="41" t="str">
        <x:v>commun:80</x:v>
      </x:c>
      <x:c r="S25" s="41" t="str">
        <x:v>commun:129</x:v>
      </x:c>
      <x:c r="T25" s="41" t="str">
        <x:v>bonfiglioli:m2sb:j-0p0025-m-10p6</x:v>
      </x:c>
    </x:row>
    <x:row r="26">
      <x:c r="A26" s="41" t="str">
        <x:v>M</x:v>
      </x:c>
      <x:c r="B26" s="41" t="str">
        <x:v>M 2SB</x:v>
      </x:c>
      <x:c r="C26" s="41" t="str">
        <x:v>j-0p0028-m-11p5</x:v>
      </x:c>
      <x:c r="D26" s="41" t="str">
        <x:v>6</x:v>
      </x:c>
      <x:c r="E26" s="43" t="str">
        <x:v>Moteur intégré pour motoréducteur - interface constructeur non IEC</x:v>
      </x:c>
      <x:c r="F26" s="43" t="str">
        <x:v>Catalogue_BONFIGLIOLI_Moteur.pdf p.114</x:v>
      </x:c>
      <x:c r="G26" s="41" t="str">
        <x:v>commun:156</x:v>
      </x:c>
      <x:c r="H26" s="41" t="str">
        <x:v>commun:119</x:v>
      </x:c>
      <x:c r="I26" s="41" t="str">
        <x:v>commun:74</x:v>
      </x:c>
      <x:c r="J26" s="41" t="str">
        <x:v>commun:19</x:v>
      </x:c>
      <x:c r="K26" s="41" t="str">
        <x:v>commun:M6</x:v>
      </x:c>
      <x:c r="L26" s="41" t="str">
        <x:v>commun:40</x:v>
      </x:c>
      <x:c r="M26" s="41" t="str">
        <x:v>commun:6</x:v>
      </x:c>
      <x:c r="N26" s="41" t="str">
        <x:v>commun:21.5</x:v>
      </x:c>
      <x:c r="O26" s="41" t="str">
        <x:v>commun:44</x:v>
      </x:c>
      <x:c r="P26" s="41" t="str">
        <x:v>commun:202</x:v>
      </x:c>
      <x:c r="Q26" s="41" t="str">
        <x:v>commun:245</x:v>
      </x:c>
      <x:c r="R26" s="41" t="str">
        <x:v>commun:80</x:v>
      </x:c>
      <x:c r="S26" s="41" t="str">
        <x:v>commun:129</x:v>
      </x:c>
      <x:c r="T26" s="41" t="str">
        <x:v>bonfiglioli:m2sb:j-0p0028-m-11p5</x:v>
      </x:c>
    </x:row>
    <x:row r="27">
      <x:c r="A27" s="41" t="str">
        <x:v>M</x:v>
      </x:c>
      <x:c r="B27" s="41" t="str">
        <x:v>M 3LA</x:v>
      </x:c>
      <x:c r="C27" s="41" t="str">
        <x:v>j-0p0031000000000000003-m-18p7</x:v>
      </x:c>
      <x:c r="D27" s="41" t="str">
        <x:v>2</x:v>
      </x:c>
      <x:c r="E27" s="43" t="str">
        <x:v>Moteur intégré pour motoréducteur - interface constructeur non IEC</x:v>
      </x:c>
      <x:c r="F27" s="43" t="str">
        <x:v>Catalogue_BONFIGLIOLI_Moteur.pdf p.114</x:v>
      </x:c>
      <x:c r="G27" s="41" t="str">
        <x:v>commun:195</x:v>
      </x:c>
      <x:c r="H27" s="41" t="str">
        <x:v>commun:142</x:v>
      </x:c>
      <x:c r="I27" s="41" t="str">
        <x:v>commun:98</x:v>
      </x:c>
      <x:c r="J27" s="41" t="str">
        <x:v>commun:28</x:v>
      </x:c>
      <x:c r="K27" s="41" t="str">
        <x:v>commun:M10</x:v>
      </x:c>
      <x:c r="L27" s="41" t="str">
        <x:v>commun:60</x:v>
      </x:c>
      <x:c r="M27" s="41" t="str">
        <x:v>commun:8</x:v>
      </x:c>
      <x:c r="N27" s="41" t="str">
        <x:v>commun:31</x:v>
      </x:c>
      <x:c r="O27" s="41" t="str">
        <x:v>commun:53</x:v>
      </x:c>
      <x:c r="P27" s="41" t="str">
        <x:v>commun:262</x:v>
      </x:c>
      <x:c r="Q27" s="41" t="str">
        <x:v>commun:325</x:v>
      </x:c>
      <x:c r="R27" s="41" t="str">
        <x:v>commun:98</x:v>
      </x:c>
      <x:c r="S27" s="41" t="str">
        <x:v>commun:160</x:v>
      </x:c>
      <x:c r="T27" s="41" t="str">
        <x:v>bonfiglioli:m3la:j-0p0031000000000000003-m-18p7</x:v>
      </x:c>
    </x:row>
    <x:row r="28">
      <x:c r="A28" s="41" t="str">
        <x:v>M</x:v>
      </x:c>
      <x:c r="B28" s="41" t="str">
        <x:v>M 3LA</x:v>
      </x:c>
      <x:c r="C28" s="41" t="str">
        <x:v>j-0p004-m-16p8</x:v>
      </x:c>
      <x:c r="D28" s="41" t="str">
        <x:v>4</x:v>
      </x:c>
      <x:c r="E28" s="43" t="str">
        <x:v>Moteur intégré pour motoréducteur - interface constructeur non IEC</x:v>
      </x:c>
      <x:c r="F28" s="43" t="str">
        <x:v>Catalogue_BONFIGLIOLI_Moteur.pdf p.114</x:v>
      </x:c>
      <x:c r="G28" s="41" t="str">
        <x:v>commun:195</x:v>
      </x:c>
      <x:c r="H28" s="41" t="str">
        <x:v>commun:142</x:v>
      </x:c>
      <x:c r="I28" s="41" t="str">
        <x:v>commun:98</x:v>
      </x:c>
      <x:c r="J28" s="41" t="str">
        <x:v>commun:28</x:v>
      </x:c>
      <x:c r="K28" s="41" t="str">
        <x:v>commun:M10</x:v>
      </x:c>
      <x:c r="L28" s="41" t="str">
        <x:v>commun:60</x:v>
      </x:c>
      <x:c r="M28" s="41" t="str">
        <x:v>commun:8</x:v>
      </x:c>
      <x:c r="N28" s="41" t="str">
        <x:v>commun:31</x:v>
      </x:c>
      <x:c r="O28" s="41" t="str">
        <x:v>commun:53</x:v>
      </x:c>
      <x:c r="P28" s="41" t="str">
        <x:v>commun:262</x:v>
      </x:c>
      <x:c r="Q28" s="41" t="str">
        <x:v>commun:325</x:v>
      </x:c>
      <x:c r="R28" s="41" t="str">
        <x:v>commun:98</x:v>
      </x:c>
      <x:c r="S28" s="41" t="str">
        <x:v>commun:160</x:v>
      </x:c>
      <x:c r="T28" s="41" t="str">
        <x:v>bonfiglioli:m3la:j-0p004-m-16p8</x:v>
      </x:c>
    </x:row>
    <x:row r="29">
      <x:c r="A29" s="41" t="str">
        <x:v>M</x:v>
      </x:c>
      <x:c r="B29" s="41" t="str">
        <x:v>M 3LA</x:v>
      </x:c>
      <x:c r="C29" s="41" t="str">
        <x:v>j-0p004-m-17</x:v>
      </x:c>
      <x:c r="D29" s="41" t="str">
        <x:v>4</x:v>
      </x:c>
      <x:c r="E29" s="43" t="str">
        <x:v>Moteur intégré pour motoréducteur - interface constructeur non IEC</x:v>
      </x:c>
      <x:c r="F29" s="43" t="str">
        <x:v>Catalogue_BONFIGLIOLI_Moteur.pdf p.114</x:v>
      </x:c>
      <x:c r="G29" s="41" t="str">
        <x:v>commun:195</x:v>
      </x:c>
      <x:c r="H29" s="41" t="str">
        <x:v>commun:142</x:v>
      </x:c>
      <x:c r="I29" s="41" t="str">
        <x:v>commun:98</x:v>
      </x:c>
      <x:c r="J29" s="41" t="str">
        <x:v>commun:28</x:v>
      </x:c>
      <x:c r="K29" s="41" t="str">
        <x:v>commun:M10</x:v>
      </x:c>
      <x:c r="L29" s="41" t="str">
        <x:v>commun:60</x:v>
      </x:c>
      <x:c r="M29" s="41" t="str">
        <x:v>commun:8</x:v>
      </x:c>
      <x:c r="N29" s="41" t="str">
        <x:v>commun:31</x:v>
      </x:c>
      <x:c r="O29" s="41" t="str">
        <x:v>commun:53</x:v>
      </x:c>
      <x:c r="P29" s="41" t="str">
        <x:v>commun:262</x:v>
      </x:c>
      <x:c r="Q29" s="41" t="str">
        <x:v>commun:325</x:v>
      </x:c>
      <x:c r="R29" s="41" t="str">
        <x:v>commun:98</x:v>
      </x:c>
      <x:c r="S29" s="41" t="str">
        <x:v>commun:160</x:v>
      </x:c>
      <x:c r="T29" s="41" t="str">
        <x:v>bonfiglioli:m3la:j-0p004-m-17</x:v>
      </x:c>
    </x:row>
    <x:row r="30">
      <x:c r="A30" s="41" t="str">
        <x:v>M</x:v>
      </x:c>
      <x:c r="B30" s="41" t="str">
        <x:v>M 3LA</x:v>
      </x:c>
      <x:c r="C30" s="41" t="str">
        <x:v>j-0p0082-m-21</x:v>
      </x:c>
      <x:c r="D30" s="41" t="str">
        <x:v>6</x:v>
      </x:c>
      <x:c r="E30" s="43" t="str">
        <x:v>Moteur intégré pour motoréducteur - interface constructeur non IEC</x:v>
      </x:c>
      <x:c r="F30" s="43" t="str">
        <x:v>Catalogue_BONFIGLIOLI_Moteur.pdf p.114</x:v>
      </x:c>
      <x:c r="G30" s="41" t="str">
        <x:v>commun:195</x:v>
      </x:c>
      <x:c r="H30" s="41" t="str">
        <x:v>commun:142</x:v>
      </x:c>
      <x:c r="I30" s="41" t="str">
        <x:v>commun:98</x:v>
      </x:c>
      <x:c r="J30" s="41" t="str">
        <x:v>commun:28</x:v>
      </x:c>
      <x:c r="K30" s="41" t="str">
        <x:v>commun:M10</x:v>
      </x:c>
      <x:c r="L30" s="41" t="str">
        <x:v>commun:60</x:v>
      </x:c>
      <x:c r="M30" s="41" t="str">
        <x:v>commun:8</x:v>
      </x:c>
      <x:c r="N30" s="41" t="str">
        <x:v>commun:31</x:v>
      </x:c>
      <x:c r="O30" s="41" t="str">
        <x:v>commun:53</x:v>
      </x:c>
      <x:c r="P30" s="41" t="str">
        <x:v>commun:262</x:v>
      </x:c>
      <x:c r="Q30" s="41" t="str">
        <x:v>commun:325</x:v>
      </x:c>
      <x:c r="R30" s="41" t="str">
        <x:v>commun:98</x:v>
      </x:c>
      <x:c r="S30" s="41" t="str">
        <x:v>commun:160</x:v>
      </x:c>
      <x:c r="T30" s="41" t="str">
        <x:v>bonfiglioli:m3la:j-0p0082-m-21</x:v>
      </x:c>
    </x:row>
    <x:row r="31">
      <x:c r="A31" s="41" t="str">
        <x:v>M</x:v>
      </x:c>
      <x:c r="B31" s="41" t="str">
        <x:v>M 3LB</x:v>
      </x:c>
      <x:c r="C31" s="41" t="str">
        <x:v>j-0p0039000000000000003-m-22</x:v>
      </x:c>
      <x:c r="D31" s="41" t="str">
        <x:v>2</x:v>
      </x:c>
      <x:c r="E31" s="43" t="str">
        <x:v>Moteur intégré pour motoréducteur - interface constructeur non IEC</x:v>
      </x:c>
      <x:c r="F31" s="43" t="str">
        <x:v>Catalogue_BONFIGLIOLI_Moteur.pdf p.114</x:v>
      </x:c>
      <x:c r="G31" s="41" t="str">
        <x:v>commun:195</x:v>
      </x:c>
      <x:c r="H31" s="41" t="str">
        <x:v>commun:142</x:v>
      </x:c>
      <x:c r="I31" s="41" t="str">
        <x:v>commun:98</x:v>
      </x:c>
      <x:c r="J31" s="41" t="str">
        <x:v>commun:28</x:v>
      </x:c>
      <x:c r="K31" s="41" t="str">
        <x:v>commun:M10</x:v>
      </x:c>
      <x:c r="L31" s="41" t="str">
        <x:v>commun:60</x:v>
      </x:c>
      <x:c r="M31" s="41" t="str">
        <x:v>commun:8</x:v>
      </x:c>
      <x:c r="N31" s="41" t="str">
        <x:v>commun:31</x:v>
      </x:c>
      <x:c r="O31" s="41" t="str">
        <x:v>commun:53</x:v>
      </x:c>
      <x:c r="P31" s="41" t="str">
        <x:v>commun:262</x:v>
      </x:c>
      <x:c r="Q31" s="41" t="str">
        <x:v>commun:325</x:v>
      </x:c>
      <x:c r="R31" s="41" t="str">
        <x:v>commun:98</x:v>
      </x:c>
      <x:c r="S31" s="41" t="str">
        <x:v>commun:160</x:v>
      </x:c>
      <x:c r="T31" s="41" t="str">
        <x:v>bonfiglioli:m3lb:j-0p0039000000000000003-m-22</x:v>
      </x:c>
    </x:row>
    <x:row r="32">
      <x:c r="A32" s="41" t="str">
        <x:v>M</x:v>
      </x:c>
      <x:c r="B32" s="41" t="str">
        <x:v>M 3LB</x:v>
      </x:c>
      <x:c r="C32" s="41" t="str">
        <x:v>j-0p0054-m-21</x:v>
      </x:c>
      <x:c r="D32" s="41" t="str">
        <x:v>4</x:v>
      </x:c>
      <x:c r="E32" s="43" t="str">
        <x:v>Moteur intégré pour motoréducteur - interface constructeur non IEC</x:v>
      </x:c>
      <x:c r="F32" s="43" t="str">
        <x:v>Catalogue_BONFIGLIOLI_Moteur.pdf p.114</x:v>
      </x:c>
      <x:c r="G32" s="41" t="str">
        <x:v>commun:195</x:v>
      </x:c>
      <x:c r="H32" s="41" t="str">
        <x:v>commun:142</x:v>
      </x:c>
      <x:c r="I32" s="41" t="str">
        <x:v>commun:98</x:v>
      </x:c>
      <x:c r="J32" s="41" t="str">
        <x:v>commun:28</x:v>
      </x:c>
      <x:c r="K32" s="41" t="str">
        <x:v>commun:M10</x:v>
      </x:c>
      <x:c r="L32" s="41" t="str">
        <x:v>commun:60</x:v>
      </x:c>
      <x:c r="M32" s="41" t="str">
        <x:v>commun:8</x:v>
      </x:c>
      <x:c r="N32" s="41" t="str">
        <x:v>commun:31</x:v>
      </x:c>
      <x:c r="O32" s="41" t="str">
        <x:v>commun:53</x:v>
      </x:c>
      <x:c r="P32" s="41" t="str">
        <x:v>commun:262</x:v>
      </x:c>
      <x:c r="Q32" s="41" t="str">
        <x:v>commun:325</x:v>
      </x:c>
      <x:c r="R32" s="41" t="str">
        <x:v>commun:98</x:v>
      </x:c>
      <x:c r="S32" s="41" t="str">
        <x:v>commun:160</x:v>
      </x:c>
      <x:c r="T32" s="41" t="str">
        <x:v>bonfiglioli:m3lb:j-0p0054-m-21</x:v>
      </x:c>
    </x:row>
    <x:row r="33">
      <x:c r="A33" s="41" t="str">
        <x:v>M</x:v>
      </x:c>
      <x:c r="B33" s="41" t="str">
        <x:v>M 3LB</x:v>
      </x:c>
      <x:c r="C33" s="41" t="str">
        <x:v>j-0p0095-m-23</x:v>
      </x:c>
      <x:c r="D33" s="41" t="str">
        <x:v>6</x:v>
      </x:c>
      <x:c r="E33" s="43" t="str">
        <x:v>Moteur intégré pour motoréducteur - interface constructeur non IEC</x:v>
      </x:c>
      <x:c r="F33" s="43" t="str">
        <x:v>Catalogue_BONFIGLIOLI_Moteur.pdf p.114</x:v>
      </x:c>
      <x:c r="G33" s="41" t="str">
        <x:v>commun:195</x:v>
      </x:c>
      <x:c r="H33" s="41" t="str">
        <x:v>commun:142</x:v>
      </x:c>
      <x:c r="I33" s="41" t="str">
        <x:v>commun:98</x:v>
      </x:c>
      <x:c r="J33" s="41" t="str">
        <x:v>commun:28</x:v>
      </x:c>
      <x:c r="K33" s="41" t="str">
        <x:v>commun:M10</x:v>
      </x:c>
      <x:c r="L33" s="41" t="str">
        <x:v>commun:60</x:v>
      </x:c>
      <x:c r="M33" s="41" t="str">
        <x:v>commun:8</x:v>
      </x:c>
      <x:c r="N33" s="41" t="str">
        <x:v>commun:31</x:v>
      </x:c>
      <x:c r="O33" s="41" t="str">
        <x:v>commun:53</x:v>
      </x:c>
      <x:c r="P33" s="41" t="str">
        <x:v>commun:262</x:v>
      </x:c>
      <x:c r="Q33" s="41" t="str">
        <x:v>commun:325</x:v>
      </x:c>
      <x:c r="R33" s="41" t="str">
        <x:v>commun:98</x:v>
      </x:c>
      <x:c r="S33" s="41" t="str">
        <x:v>commun:160</x:v>
      </x:c>
      <x:c r="T33" s="41" t="str">
        <x:v>bonfiglioli:m3lb:j-0p0095-m-23</x:v>
      </x:c>
    </x:row>
    <x:row r="34">
      <x:c r="A34" s="41" t="str">
        <x:v>M</x:v>
      </x:c>
      <x:c r="B34" s="41" t="str">
        <x:v>M 3LC</x:v>
      </x:c>
      <x:c r="C34" s="41" t="str">
        <x:v>j-0p0061-m-23</x:v>
      </x:c>
      <x:c r="D34" s="41" t="str">
        <x:v>4</x:v>
      </x:c>
      <x:c r="E34" s="43" t="str">
        <x:v>Moteur intégré pour motoréducteur - interface constructeur non IEC</x:v>
      </x:c>
      <x:c r="F34" s="43" t="str">
        <x:v>Catalogue_BONFIGLIOLI_Moteur.pdf p.114</x:v>
      </x:c>
      <x:c r="G34" s="41" t="str">
        <x:v>commun:195</x:v>
      </x:c>
      <x:c r="H34" s="41" t="str">
        <x:v>commun:142</x:v>
      </x:c>
      <x:c r="I34" s="41" t="str">
        <x:v>commun:98</x:v>
      </x:c>
      <x:c r="J34" s="41" t="str">
        <x:v>commun:28</x:v>
      </x:c>
      <x:c r="K34" s="41" t="str">
        <x:v>commun:M10</x:v>
      </x:c>
      <x:c r="L34" s="41" t="str">
        <x:v>commun:60</x:v>
      </x:c>
      <x:c r="M34" s="41" t="str">
        <x:v>commun:8</x:v>
      </x:c>
      <x:c r="N34" s="41" t="str">
        <x:v>commun:31</x:v>
      </x:c>
      <x:c r="O34" s="41" t="str">
        <x:v>commun:53</x:v>
      </x:c>
      <x:c r="P34" s="41" t="str">
        <x:v>commun:262</x:v>
      </x:c>
      <x:c r="Q34" s="41" t="str">
        <x:v>commun:325</x:v>
      </x:c>
      <x:c r="R34" s="41" t="str">
        <x:v>commun:98</x:v>
      </x:c>
      <x:c r="S34" s="41" t="str">
        <x:v>commun:160</x:v>
      </x:c>
      <x:c r="T34" s="41" t="str">
        <x:v>bonfiglioli:m3lc:j-0p0061-m-23</x:v>
      </x:c>
    </x:row>
    <x:row r="35">
      <x:c r="A35" s="41" t="str">
        <x:v>M</x:v>
      </x:c>
      <x:c r="B35" s="41" t="str">
        <x:v>M 3LC</x:v>
      </x:c>
      <x:c r="C35" s="41" t="str">
        <x:v>j-0p0095-m-23</x:v>
      </x:c>
      <x:c r="D35" s="41" t="str">
        <x:v>6</x:v>
      </x:c>
      <x:c r="E35" s="43" t="str">
        <x:v>Moteur intégré pour motoréducteur - interface constructeur non IEC</x:v>
      </x:c>
      <x:c r="F35" s="43" t="str">
        <x:v>Catalogue_BONFIGLIOLI_Moteur.pdf p.114</x:v>
      </x:c>
      <x:c r="G35" s="41" t="str">
        <x:v>commun:195</x:v>
      </x:c>
      <x:c r="H35" s="41" t="str">
        <x:v>commun:142</x:v>
      </x:c>
      <x:c r="I35" s="41" t="str">
        <x:v>commun:98</x:v>
      </x:c>
      <x:c r="J35" s="41" t="str">
        <x:v>commun:28</x:v>
      </x:c>
      <x:c r="K35" s="41" t="str">
        <x:v>commun:M10</x:v>
      </x:c>
      <x:c r="L35" s="41" t="str">
        <x:v>commun:60</x:v>
      </x:c>
      <x:c r="M35" s="41" t="str">
        <x:v>commun:8</x:v>
      </x:c>
      <x:c r="N35" s="41" t="str">
        <x:v>commun:31</x:v>
      </x:c>
      <x:c r="O35" s="41" t="str">
        <x:v>commun:53</x:v>
      </x:c>
      <x:c r="P35" s="41" t="str">
        <x:v>commun:262</x:v>
      </x:c>
      <x:c r="Q35" s="41" t="str">
        <x:v>commun:325</x:v>
      </x:c>
      <x:c r="R35" s="41" t="str">
        <x:v>commun:98</x:v>
      </x:c>
      <x:c r="S35" s="41" t="str">
        <x:v>commun:160</x:v>
      </x:c>
      <x:c r="T35" s="41" t="str">
        <x:v>bonfiglioli:m3lc:j-0p0095-m-23</x:v>
      </x:c>
    </x:row>
    <x:row r="36">
      <x:c r="A36" s="41" t="str">
        <x:v>M</x:v>
      </x:c>
      <x:c r="B36" s="41" t="str">
        <x:v>M 3SA</x:v>
      </x:c>
      <x:c r="C36" s="41" t="str">
        <x:v>j-0p0024000000000000002-m-15p4</x:v>
      </x:c>
      <x:c r="D36" s="41" t="str">
        <x:v>2</x:v>
      </x:c>
      <x:c r="E36" s="43" t="str">
        <x:v>Moteur intégré pour motoréducteur - interface constructeur non IEC</x:v>
      </x:c>
      <x:c r="F36" s="43" t="str">
        <x:v>Catalogue_BONFIGLIOLI_Moteur.pdf p.114</x:v>
      </x:c>
      <x:c r="G36" s="41" t="str">
        <x:v>commun:195</x:v>
      </x:c>
      <x:c r="H36" s="41" t="str">
        <x:v>commun:142</x:v>
      </x:c>
      <x:c r="I36" s="41" t="str">
        <x:v>commun:98</x:v>
      </x:c>
      <x:c r="J36" s="41" t="str">
        <x:v>commun:28</x:v>
      </x:c>
      <x:c r="K36" s="41" t="str">
        <x:v>commun:M10</x:v>
      </x:c>
      <x:c r="L36" s="41" t="str">
        <x:v>commun:60</x:v>
      </x:c>
      <x:c r="M36" s="41" t="str">
        <x:v>commun:8</x:v>
      </x:c>
      <x:c r="N36" s="41" t="str">
        <x:v>commun:31</x:v>
      </x:c>
      <x:c r="O36" s="41" t="str">
        <x:v>commun:53</x:v>
      </x:c>
      <x:c r="P36" s="41" t="str">
        <x:v>commun:230</x:v>
      </x:c>
      <x:c r="Q36" s="41" t="str">
        <x:v>commun:293</x:v>
      </x:c>
      <x:c r="R36" s="41" t="str">
        <x:v>commun:98</x:v>
      </x:c>
      <x:c r="S36" s="41" t="str">
        <x:v>commun:160</x:v>
      </x:c>
      <x:c r="T36" s="41" t="str">
        <x:v>bonfiglioli:m3sa:j-0p0024000000000000002-m-15p4</x:v>
      </x:c>
    </x:row>
    <x:row r="37">
      <x:c r="A37" s="41" t="str">
        <x:v>M</x:v>
      </x:c>
      <x:c r="B37" s="41" t="str">
        <x:v>M 3SA</x:v>
      </x:c>
      <x:c r="C37" s="41" t="str">
        <x:v>j-0p0024000000000000002-m-15p5</x:v>
      </x:c>
      <x:c r="D37" s="41" t="str">
        <x:v>2</x:v>
      </x:c>
      <x:c r="E37" s="43" t="str">
        <x:v>Moteur intégré pour motoréducteur - interface constructeur non IEC</x:v>
      </x:c>
      <x:c r="F37" s="43" t="str">
        <x:v>Catalogue_BONFIGLIOLI_Moteur.pdf p.114</x:v>
      </x:c>
      <x:c r="G37" s="41" t="str">
        <x:v>commun:195</x:v>
      </x:c>
      <x:c r="H37" s="41" t="str">
        <x:v>commun:142</x:v>
      </x:c>
      <x:c r="I37" s="41" t="str">
        <x:v>commun:98</x:v>
      </x:c>
      <x:c r="J37" s="41" t="str">
        <x:v>commun:28</x:v>
      </x:c>
      <x:c r="K37" s="41" t="str">
        <x:v>commun:M10</x:v>
      </x:c>
      <x:c r="L37" s="41" t="str">
        <x:v>commun:60</x:v>
      </x:c>
      <x:c r="M37" s="41" t="str">
        <x:v>commun:8</x:v>
      </x:c>
      <x:c r="N37" s="41" t="str">
        <x:v>commun:31</x:v>
      </x:c>
      <x:c r="O37" s="41" t="str">
        <x:v>commun:53</x:v>
      </x:c>
      <x:c r="P37" s="41" t="str">
        <x:v>commun:230</x:v>
      </x:c>
      <x:c r="Q37" s="41" t="str">
        <x:v>commun:293</x:v>
      </x:c>
      <x:c r="R37" s="41" t="str">
        <x:v>commun:98</x:v>
      </x:c>
      <x:c r="S37" s="41" t="str">
        <x:v>commun:160</x:v>
      </x:c>
      <x:c r="T37" s="41" t="str">
        <x:v>bonfiglioli:m3sa:j-0p0024000000000000002-m-15p5</x:v>
      </x:c>
    </x:row>
    <x:row r="38">
      <x:c r="A38" s="41" t="str">
        <x:v>M</x:v>
      </x:c>
      <x:c r="B38" s="41" t="str">
        <x:v>M 3SA</x:v>
      </x:c>
      <x:c r="C38" s="41" t="str">
        <x:v>j-0p0034000000000000002-m-15p4</x:v>
      </x:c>
      <x:c r="D38" s="41" t="str">
        <x:v>4</x:v>
      </x:c>
      <x:c r="E38" s="43" t="str">
        <x:v>Moteur intégré pour motoréducteur - interface constructeur non IEC</x:v>
      </x:c>
      <x:c r="F38" s="43" t="str">
        <x:v>Catalogue_BONFIGLIOLI_Moteur.pdf p.114</x:v>
      </x:c>
      <x:c r="G38" s="41" t="str">
        <x:v>commun:195</x:v>
      </x:c>
      <x:c r="H38" s="41" t="str">
        <x:v>commun:142</x:v>
      </x:c>
      <x:c r="I38" s="41" t="str">
        <x:v>commun:98</x:v>
      </x:c>
      <x:c r="J38" s="41" t="str">
        <x:v>commun:28</x:v>
      </x:c>
      <x:c r="K38" s="41" t="str">
        <x:v>commun:M10</x:v>
      </x:c>
      <x:c r="L38" s="41" t="str">
        <x:v>commun:60</x:v>
      </x:c>
      <x:c r="M38" s="41" t="str">
        <x:v>commun:8</x:v>
      </x:c>
      <x:c r="N38" s="41" t="str">
        <x:v>commun:31</x:v>
      </x:c>
      <x:c r="O38" s="41" t="str">
        <x:v>commun:53</x:v>
      </x:c>
      <x:c r="P38" s="41" t="str">
        <x:v>commun:230</x:v>
      </x:c>
      <x:c r="Q38" s="41" t="str">
        <x:v>commun:293</x:v>
      </x:c>
      <x:c r="R38" s="41" t="str">
        <x:v>commun:98</x:v>
      </x:c>
      <x:c r="S38" s="41" t="str">
        <x:v>commun:160</x:v>
      </x:c>
      <x:c r="T38" s="41" t="str">
        <x:v>bonfiglioli:m3sa:j-0p0034000000000000002-m-15p4</x:v>
      </x:c>
    </x:row>
    <x:row r="39">
      <x:c r="A39" s="41" t="str">
        <x:v>M</x:v>
      </x:c>
      <x:c r="B39" s="41" t="str">
        <x:v>M 3SA</x:v>
      </x:c>
      <x:c r="C39" s="41" t="str">
        <x:v>j-0p0034000000000000002-m-15p5</x:v>
      </x:c>
      <x:c r="D39" s="41" t="str">
        <x:v>4</x:v>
      </x:c>
      <x:c r="E39" s="43" t="str">
        <x:v>Moteur intégré pour motoréducteur - interface constructeur non IEC</x:v>
      </x:c>
      <x:c r="F39" s="43" t="str">
        <x:v>Catalogue_BONFIGLIOLI_Moteur.pdf p.114</x:v>
      </x:c>
      <x:c r="G39" s="41" t="str">
        <x:v>commun:195</x:v>
      </x:c>
      <x:c r="H39" s="41" t="str">
        <x:v>commun:142</x:v>
      </x:c>
      <x:c r="I39" s="41" t="str">
        <x:v>commun:98</x:v>
      </x:c>
      <x:c r="J39" s="41" t="str">
        <x:v>commun:28</x:v>
      </x:c>
      <x:c r="K39" s="41" t="str">
        <x:v>commun:M10</x:v>
      </x:c>
      <x:c r="L39" s="41" t="str">
        <x:v>commun:60</x:v>
      </x:c>
      <x:c r="M39" s="41" t="str">
        <x:v>commun:8</x:v>
      </x:c>
      <x:c r="N39" s="41" t="str">
        <x:v>commun:31</x:v>
      </x:c>
      <x:c r="O39" s="41" t="str">
        <x:v>commun:53</x:v>
      </x:c>
      <x:c r="P39" s="41" t="str">
        <x:v>commun:230</x:v>
      </x:c>
      <x:c r="Q39" s="41" t="str">
        <x:v>commun:293</x:v>
      </x:c>
      <x:c r="R39" s="41" t="str">
        <x:v>commun:98</x:v>
      </x:c>
      <x:c r="S39" s="41" t="str">
        <x:v>commun:160</x:v>
      </x:c>
      <x:c r="T39" s="41" t="str">
        <x:v>bonfiglioli:m3sa:j-0p0034000000000000002-m-15p5</x:v>
      </x:c>
    </x:row>
    <x:row r="40">
      <x:c r="A40" s="41" t="str">
        <x:v>M</x:v>
      </x:c>
      <x:c r="B40" s="41" t="str">
        <x:v>M 3SA</x:v>
      </x:c>
      <x:c r="C40" s="41" t="str">
        <x:v>j-0p006200000000000001-m-17</x:v>
      </x:c>
      <x:c r="D40" s="41" t="str">
        <x:v>6</x:v>
      </x:c>
      <x:c r="E40" s="43" t="str">
        <x:v>Moteur intégré pour motoréducteur - interface constructeur non IEC</x:v>
      </x:c>
      <x:c r="F40" s="43" t="str">
        <x:v>Catalogue_BONFIGLIOLI_Moteur.pdf p.114</x:v>
      </x:c>
      <x:c r="G40" s="41" t="str">
        <x:v>commun:195</x:v>
      </x:c>
      <x:c r="H40" s="41" t="str">
        <x:v>commun:142</x:v>
      </x:c>
      <x:c r="I40" s="41" t="str">
        <x:v>commun:98</x:v>
      </x:c>
      <x:c r="J40" s="41" t="str">
        <x:v>commun:28</x:v>
      </x:c>
      <x:c r="K40" s="41" t="str">
        <x:v>commun:M10</x:v>
      </x:c>
      <x:c r="L40" s="41" t="str">
        <x:v>commun:60</x:v>
      </x:c>
      <x:c r="M40" s="41" t="str">
        <x:v>commun:8</x:v>
      </x:c>
      <x:c r="N40" s="41" t="str">
        <x:v>commun:31</x:v>
      </x:c>
      <x:c r="O40" s="41" t="str">
        <x:v>commun:53</x:v>
      </x:c>
      <x:c r="P40" s="41" t="str">
        <x:v>commun:230</x:v>
      </x:c>
      <x:c r="Q40" s="41" t="str">
        <x:v>commun:293</x:v>
      </x:c>
      <x:c r="R40" s="41" t="str">
        <x:v>commun:98</x:v>
      </x:c>
      <x:c r="S40" s="41" t="str">
        <x:v>commun:160</x:v>
      </x:c>
      <x:c r="T40" s="41" t="str">
        <x:v>bonfiglioli:m3sa:j-0p006200000000000001-m-17</x:v>
      </x:c>
    </x:row>
    <x:row r="41">
      <x:c r="A41" s="41" t="str">
        <x:v>M</x:v>
      </x:c>
      <x:c r="B41" s="41" t="str">
        <x:v>M 4LA</x:v>
      </x:c>
      <x:c r="C41" s="41" t="str">
        <x:v>j-0p0178-m-51</x:v>
      </x:c>
      <x:c r="D41" s="41" t="str">
        <x:v>2</x:v>
      </x:c>
      <x:c r="E41" s="43" t="str">
        <x:v>Moteur intégré pour motoréducteur - interface constructeur non IEC</x:v>
      </x:c>
      <x:c r="F41" s="43" t="str">
        <x:v>Catalogue_BONFIGLIOLI_Moteur.pdf p.114</x:v>
      </x:c>
      <x:c r="G41" s="41" t="str">
        <x:v>commun:258</x:v>
      </x:c>
      <x:c r="H41" s="41" t="str">
        <x:v>commun:193</x:v>
      </x:c>
      <x:c r="I41" s="41" t="str">
        <x:v>commun:118</x:v>
      </x:c>
      <x:c r="J41" s="41" t="str">
        <x:v>commun:38</x:v>
      </x:c>
      <x:c r="K41" s="41" t="str">
        <x:v>commun:M12</x:v>
      </x:c>
      <x:c r="L41" s="41" t="str">
        <x:v>commun:80</x:v>
      </x:c>
      <x:c r="M41" s="41" t="str">
        <x:v>commun:10</x:v>
      </x:c>
      <x:c r="N41" s="41" t="str">
        <x:v>commun:41</x:v>
      </x:c>
      <x:c r="O41" s="41" t="str">
        <x:v>commun:64</x:v>
      </x:c>
      <x:c r="P41" s="41" t="str">
        <x:v>commun:361</x:v>
      </x:c>
      <x:c r="Q41" s="41" t="str">
        <x:v>commun:444</x:v>
      </x:c>
      <x:c r="R41" s="41" t="str">
        <x:v>commun:118</x:v>
      </x:c>
      <x:c r="S41" s="41" t="str"/>
      <x:c r="T41" s="41" t="str">
        <x:v>bonfiglioli:m4la:j-0p0178-m-51</x:v>
      </x:c>
    </x:row>
    <x:row r="42">
      <x:c r="A42" s="41" t="str">
        <x:v>M</x:v>
      </x:c>
      <x:c r="B42" s="41" t="str">
        <x:v>M 4LA</x:v>
      </x:c>
      <x:c r="C42" s="41" t="str">
        <x:v>j-0p027-m-51</x:v>
      </x:c>
      <x:c r="D42" s="41" t="str">
        <x:v>4</x:v>
      </x:c>
      <x:c r="E42" s="43" t="str">
        <x:v>Moteur intégré pour motoréducteur - interface constructeur non IEC</x:v>
      </x:c>
      <x:c r="F42" s="43" t="str">
        <x:v>Catalogue_BONFIGLIOLI_Moteur.pdf p.114</x:v>
      </x:c>
      <x:c r="G42" s="41" t="str">
        <x:v>commun:258</x:v>
      </x:c>
      <x:c r="H42" s="41" t="str">
        <x:v>commun:193</x:v>
      </x:c>
      <x:c r="I42" s="41" t="str">
        <x:v>commun:118</x:v>
      </x:c>
      <x:c r="J42" s="41" t="str">
        <x:v>commun:38</x:v>
      </x:c>
      <x:c r="K42" s="41" t="str">
        <x:v>commun:M12</x:v>
      </x:c>
      <x:c r="L42" s="41" t="str">
        <x:v>commun:80</x:v>
      </x:c>
      <x:c r="M42" s="41" t="str">
        <x:v>commun:10</x:v>
      </x:c>
      <x:c r="N42" s="41" t="str">
        <x:v>commun:41</x:v>
      </x:c>
      <x:c r="O42" s="41" t="str">
        <x:v>commun:64</x:v>
      </x:c>
      <x:c r="P42" s="41" t="str">
        <x:v>commun:361</x:v>
      </x:c>
      <x:c r="Q42" s="41" t="str">
        <x:v>commun:444</x:v>
      </x:c>
      <x:c r="R42" s="41" t="str">
        <x:v>commun:118</x:v>
      </x:c>
      <x:c r="S42" s="41" t="str"/>
      <x:c r="T42" s="41" t="str">
        <x:v>bonfiglioli:m4la:j-0p027-m-51</x:v>
      </x:c>
    </x:row>
    <x:row r="43">
      <x:c r="A43" s="41" t="str">
        <x:v>M</x:v>
      </x:c>
      <x:c r="B43" s="41" t="str">
        <x:v>M 4LA</x:v>
      </x:c>
      <x:c r="C43" s="41" t="str">
        <x:v>j-0p029500000000000002-m-43</x:v>
      </x:c>
      <x:c r="D43" s="41" t="str">
        <x:v>6</x:v>
      </x:c>
      <x:c r="E43" s="43" t="str">
        <x:v>Moteur intégré pour motoréducteur - interface constructeur non IEC</x:v>
      </x:c>
      <x:c r="F43" s="43" t="str">
        <x:v>Catalogue_BONFIGLIOLI_Moteur.pdf p.114</x:v>
      </x:c>
      <x:c r="G43" s="41" t="str">
        <x:v>commun:258</x:v>
      </x:c>
      <x:c r="H43" s="41" t="str">
        <x:v>commun:193</x:v>
      </x:c>
      <x:c r="I43" s="41" t="str">
        <x:v>commun:118</x:v>
      </x:c>
      <x:c r="J43" s="41" t="str">
        <x:v>commun:38</x:v>
      </x:c>
      <x:c r="K43" s="41" t="str">
        <x:v>commun:M12</x:v>
      </x:c>
      <x:c r="L43" s="41" t="str">
        <x:v>commun:80</x:v>
      </x:c>
      <x:c r="M43" s="41" t="str">
        <x:v>commun:10</x:v>
      </x:c>
      <x:c r="N43" s="41" t="str">
        <x:v>commun:41</x:v>
      </x:c>
      <x:c r="O43" s="41" t="str">
        <x:v>commun:64</x:v>
      </x:c>
      <x:c r="P43" s="41" t="str">
        <x:v>commun:361</x:v>
      </x:c>
      <x:c r="Q43" s="41" t="str">
        <x:v>commun:444</x:v>
      </x:c>
      <x:c r="R43" s="41" t="str">
        <x:v>commun:118</x:v>
      </x:c>
      <x:c r="S43" s="41" t="str"/>
      <x:c r="T43" s="41" t="str">
        <x:v>bonfiglioli:m4la:j-0p029500000000000002-m-43</x:v>
      </x:c>
    </x:row>
    <x:row r="44">
      <x:c r="A44" s="41" t="str">
        <x:v>M</x:v>
      </x:c>
      <x:c r="B44" s="41" t="str">
        <x:v>M 4LB</x:v>
      </x:c>
      <x:c r="C44" s="41" t="str">
        <x:v>j-0p031900000000000005-m-57</x:v>
      </x:c>
      <x:c r="D44" s="41" t="str">
        <x:v>4</x:v>
      </x:c>
      <x:c r="E44" s="43" t="str">
        <x:v>Moteur intégré pour motoréducteur - interface constructeur non IEC</x:v>
      </x:c>
      <x:c r="F44" s="43" t="str">
        <x:v>Catalogue_BONFIGLIOLI_Moteur.pdf p.114</x:v>
      </x:c>
      <x:c r="G44" s="41" t="str">
        <x:v>commun:258</x:v>
      </x:c>
      <x:c r="H44" s="41" t="str">
        <x:v>commun:193</x:v>
      </x:c>
      <x:c r="I44" s="41" t="str">
        <x:v>commun:118</x:v>
      </x:c>
      <x:c r="J44" s="41" t="str">
        <x:v>commun:38</x:v>
      </x:c>
      <x:c r="K44" s="41" t="str">
        <x:v>commun:M12</x:v>
      </x:c>
      <x:c r="L44" s="41" t="str">
        <x:v>commun:80</x:v>
      </x:c>
      <x:c r="M44" s="41" t="str">
        <x:v>commun:10</x:v>
      </x:c>
      <x:c r="N44" s="41" t="str">
        <x:v>commun:41</x:v>
      </x:c>
      <x:c r="O44" s="41" t="str">
        <x:v>commun:64</x:v>
      </x:c>
      <x:c r="P44" s="41" t="str">
        <x:v>commun:361</x:v>
      </x:c>
      <x:c r="Q44" s="41" t="str">
        <x:v>commun:444</x:v>
      </x:c>
      <x:c r="R44" s="41" t="str">
        <x:v>commun:118</x:v>
      </x:c>
      <x:c r="S44" s="41" t="str"/>
      <x:c r="T44" s="41" t="str">
        <x:v>bonfiglioli:m4lb:j-0p031900000000000005-m-57</x:v>
      </x:c>
    </x:row>
    <x:row r="45">
      <x:c r="A45" s="41" t="str">
        <x:v>M</x:v>
      </x:c>
      <x:c r="B45" s="41" t="str">
        <x:v>M 4LB</x:v>
      </x:c>
      <x:c r="C45" s="41" t="str">
        <x:v>j-0p0383-m-54</x:v>
      </x:c>
      <x:c r="D45" s="41" t="str">
        <x:v>6</x:v>
      </x:c>
      <x:c r="E45" s="43" t="str">
        <x:v>Moteur intégré pour motoréducteur - interface constructeur non IEC</x:v>
      </x:c>
      <x:c r="F45" s="43" t="str">
        <x:v>Catalogue_BONFIGLIOLI_Moteur.pdf p.114</x:v>
      </x:c>
      <x:c r="G45" s="41" t="str">
        <x:v>commun:258</x:v>
      </x:c>
      <x:c r="H45" s="41" t="str">
        <x:v>commun:193</x:v>
      </x:c>
      <x:c r="I45" s="41" t="str">
        <x:v>commun:118</x:v>
      </x:c>
      <x:c r="J45" s="41" t="str">
        <x:v>commun:38</x:v>
      </x:c>
      <x:c r="K45" s="41" t="str">
        <x:v>commun:M12</x:v>
      </x:c>
      <x:c r="L45" s="41" t="str">
        <x:v>commun:80</x:v>
      </x:c>
      <x:c r="M45" s="41" t="str">
        <x:v>commun:10</x:v>
      </x:c>
      <x:c r="N45" s="41" t="str">
        <x:v>commun:41</x:v>
      </x:c>
      <x:c r="O45" s="41" t="str">
        <x:v>commun:64</x:v>
      </x:c>
      <x:c r="P45" s="41" t="str">
        <x:v>commun:361</x:v>
      </x:c>
      <x:c r="Q45" s="41" t="str">
        <x:v>commun:444</x:v>
      </x:c>
      <x:c r="R45" s="41" t="str">
        <x:v>commun:118</x:v>
      </x:c>
      <x:c r="S45" s="41" t="str"/>
      <x:c r="T45" s="41" t="str">
        <x:v>bonfiglioli:m4lb:j-0p0383-m-54</x:v>
      </x:c>
    </x:row>
    <x:row r="46">
      <x:c r="A46" s="41" t="str">
        <x:v>M</x:v>
      </x:c>
      <x:c r="B46" s="41" t="str">
        <x:v>M 4LC</x:v>
      </x:c>
      <x:c r="C46" s="41" t="str">
        <x:v>j-0p021-m-60</x:v>
      </x:c>
      <x:c r="D46" s="41" t="str">
        <x:v>2</x:v>
      </x:c>
      <x:c r="E46" s="43" t="str">
        <x:v>Moteur intégré pour motoréducteur - interface constructeur non IEC</x:v>
      </x:c>
      <x:c r="F46" s="43" t="str">
        <x:v>Catalogue_BONFIGLIOLI_Moteur.pdf p.114</x:v>
      </x:c>
      <x:c r="G46" s="41" t="str">
        <x:v>commun:258</x:v>
      </x:c>
      <x:c r="H46" s="41" t="str">
        <x:v>commun:193</x:v>
      </x:c>
      <x:c r="I46" s="41" t="str">
        <x:v>commun:118</x:v>
      </x:c>
      <x:c r="J46" s="41" t="str">
        <x:v>commun:38</x:v>
      </x:c>
      <x:c r="K46" s="41" t="str">
        <x:v>commun:M12</x:v>
      </x:c>
      <x:c r="L46" s="41" t="str">
        <x:v>commun:80</x:v>
      </x:c>
      <x:c r="M46" s="41" t="str">
        <x:v>commun:10</x:v>
      </x:c>
      <x:c r="N46" s="41" t="str">
        <x:v>commun:41</x:v>
      </x:c>
      <x:c r="O46" s="41" t="str">
        <x:v>commun:64</x:v>
      </x:c>
      <x:c r="P46" s="41" t="str">
        <x:v>commun:396</x:v>
      </x:c>
      <x:c r="Q46" s="41" t="str">
        <x:v>commun:479</x:v>
      </x:c>
      <x:c r="R46" s="41" t="str">
        <x:v>commun:118</x:v>
      </x:c>
      <x:c r="S46" s="41" t="str">
        <x:v>commun:226</x:v>
      </x:c>
      <x:c r="T46" s="41" t="str">
        <x:v>bonfiglioli:m4lc:j-0p021-m-60</x:v>
      </x:c>
    </x:row>
    <x:row r="47">
      <x:c r="A47" s="41" t="str">
        <x:v>M</x:v>
      </x:c>
      <x:c r="B47" s="41" t="str">
        <x:v>M 4LC</x:v>
      </x:c>
      <x:c r="C47" s="41" t="str">
        <x:v>j-0p036000000000000004-m-65</x:v>
      </x:c>
      <x:c r="D47" s="41" t="str">
        <x:v>4</x:v>
      </x:c>
      <x:c r="E47" s="43" t="str">
        <x:v>Moteur intégré pour motoréducteur - interface constructeur non IEC</x:v>
      </x:c>
      <x:c r="F47" s="43" t="str">
        <x:v>Catalogue_BONFIGLIOLI_Moteur.pdf p.114</x:v>
      </x:c>
      <x:c r="G47" s="41" t="str">
        <x:v>commun:258</x:v>
      </x:c>
      <x:c r="H47" s="41" t="str">
        <x:v>commun:193</x:v>
      </x:c>
      <x:c r="I47" s="41" t="str">
        <x:v>commun:118</x:v>
      </x:c>
      <x:c r="J47" s="41" t="str">
        <x:v>commun:38</x:v>
      </x:c>
      <x:c r="K47" s="41" t="str">
        <x:v>commun:M12</x:v>
      </x:c>
      <x:c r="L47" s="41" t="str">
        <x:v>commun:80</x:v>
      </x:c>
      <x:c r="M47" s="41" t="str">
        <x:v>commun:10</x:v>
      </x:c>
      <x:c r="N47" s="41" t="str">
        <x:v>commun:41</x:v>
      </x:c>
      <x:c r="O47" s="41" t="str">
        <x:v>commun:64</x:v>
      </x:c>
      <x:c r="P47" s="41" t="str">
        <x:v>commun:396</x:v>
      </x:c>
      <x:c r="Q47" s="41" t="str">
        <x:v>commun:479</x:v>
      </x:c>
      <x:c r="R47" s="41" t="str">
        <x:v>commun:118</x:v>
      </x:c>
      <x:c r="S47" s="41" t="str">
        <x:v>commun:226</x:v>
      </x:c>
      <x:c r="T47" s="41" t="str">
        <x:v>bonfiglioli:m4lc:j-0p036000000000000004-m-65</x:v>
      </x:c>
    </x:row>
    <x:row r="48">
      <x:c r="A48" s="41" t="str">
        <x:v>M</x:v>
      </x:c>
      <x:c r="B48" s="41" t="str">
        <x:v>M 4SA</x:v>
      </x:c>
      <x:c r="C48" s="41" t="str">
        <x:v>j-0p010100000000000001-m-33</x:v>
      </x:c>
      <x:c r="D48" s="41" t="str">
        <x:v>2</x:v>
      </x:c>
      <x:c r="E48" s="43" t="str">
        <x:v>Moteur intégré pour motoréducteur - interface constructeur non IEC</x:v>
      </x:c>
      <x:c r="F48" s="43" t="str">
        <x:v>Catalogue_BONFIGLIOLI_Moteur.pdf p.114</x:v>
      </x:c>
      <x:c r="G48" s="41" t="str">
        <x:v>commun:258</x:v>
      </x:c>
      <x:c r="H48" s="41" t="str">
        <x:v>commun:193</x:v>
      </x:c>
      <x:c r="I48" s="41" t="str">
        <x:v>commun:118</x:v>
      </x:c>
      <x:c r="J48" s="41" t="str">
        <x:v>commun:38</x:v>
      </x:c>
      <x:c r="K48" s="41" t="str">
        <x:v>commun:M12</x:v>
      </x:c>
      <x:c r="L48" s="41" t="str">
        <x:v>commun:80</x:v>
      </x:c>
      <x:c r="M48" s="41" t="str">
        <x:v>commun:10</x:v>
      </x:c>
      <x:c r="N48" s="41" t="str">
        <x:v>commun:41</x:v>
      </x:c>
      <x:c r="O48" s="41" t="str">
        <x:v>commun:64</x:v>
      </x:c>
      <x:c r="P48" s="41" t="str">
        <x:v>commun:361</x:v>
      </x:c>
      <x:c r="Q48" s="41" t="str">
        <x:v>commun:444</x:v>
      </x:c>
      <x:c r="R48" s="41" t="str">
        <x:v>commun:118</x:v>
      </x:c>
      <x:c r="S48" s="41" t="str"/>
      <x:c r="T48" s="41" t="str">
        <x:v>bonfiglioli:m4sa:j-0p010100000000000001-m-33</x:v>
      </x:c>
    </x:row>
    <x:row r="49">
      <x:c r="A49" s="41" t="str">
        <x:v>M</x:v>
      </x:c>
      <x:c r="B49" s="41" t="str">
        <x:v>M 4SA</x:v>
      </x:c>
      <x:c r="C49" s="41" t="str">
        <x:v>j-0p0213-m-42</x:v>
      </x:c>
      <x:c r="D49" s="41" t="str">
        <x:v>4</x:v>
      </x:c>
      <x:c r="E49" s="43" t="str">
        <x:v>Moteur intégré pour motoréducteur - interface constructeur non IEC</x:v>
      </x:c>
      <x:c r="F49" s="43" t="str">
        <x:v>Catalogue_BONFIGLIOLI_Moteur.pdf p.114</x:v>
      </x:c>
      <x:c r="G49" s="41" t="str">
        <x:v>commun:258</x:v>
      </x:c>
      <x:c r="H49" s="41" t="str">
        <x:v>commun:193</x:v>
      </x:c>
      <x:c r="I49" s="41" t="str">
        <x:v>commun:118</x:v>
      </x:c>
      <x:c r="J49" s="41" t="str">
        <x:v>commun:38</x:v>
      </x:c>
      <x:c r="K49" s="41" t="str">
        <x:v>commun:M12</x:v>
      </x:c>
      <x:c r="L49" s="41" t="str">
        <x:v>commun:80</x:v>
      </x:c>
      <x:c r="M49" s="41" t="str">
        <x:v>commun:10</x:v>
      </x:c>
      <x:c r="N49" s="41" t="str">
        <x:v>commun:41</x:v>
      </x:c>
      <x:c r="O49" s="41" t="str">
        <x:v>commun:64</x:v>
      </x:c>
      <x:c r="P49" s="41" t="str">
        <x:v>commun:361</x:v>
      </x:c>
      <x:c r="Q49" s="41" t="str">
        <x:v>commun:444</x:v>
      </x:c>
      <x:c r="R49" s="41" t="str">
        <x:v>commun:118</x:v>
      </x:c>
      <x:c r="S49" s="41" t="str"/>
      <x:c r="T49" s="41" t="str">
        <x:v>bonfiglioli:m4sa:j-0p0213-m-42</x:v>
      </x:c>
    </x:row>
    <x:row r="50">
      <x:c r="A50" s="41" t="str">
        <x:v>M</x:v>
      </x:c>
      <x:c r="B50" s="41" t="str">
        <x:v>M 4SA</x:v>
      </x:c>
      <x:c r="C50" s="41" t="str">
        <x:v>j-0p0216-m-34</x:v>
      </x:c>
      <x:c r="D50" s="41" t="str">
        <x:v>6</x:v>
      </x:c>
      <x:c r="E50" s="43" t="str">
        <x:v>Moteur intégré pour motoréducteur - interface constructeur non IEC</x:v>
      </x:c>
      <x:c r="F50" s="43" t="str">
        <x:v>Catalogue_BONFIGLIOLI_Moteur.pdf p.114</x:v>
      </x:c>
      <x:c r="G50" s="41" t="str">
        <x:v>commun:258</x:v>
      </x:c>
      <x:c r="H50" s="41" t="str">
        <x:v>commun:193</x:v>
      </x:c>
      <x:c r="I50" s="41" t="str">
        <x:v>commun:118</x:v>
      </x:c>
      <x:c r="J50" s="41" t="str">
        <x:v>commun:38</x:v>
      </x:c>
      <x:c r="K50" s="41" t="str">
        <x:v>commun:M12</x:v>
      </x:c>
      <x:c r="L50" s="41" t="str">
        <x:v>commun:80</x:v>
      </x:c>
      <x:c r="M50" s="41" t="str">
        <x:v>commun:10</x:v>
      </x:c>
      <x:c r="N50" s="41" t="str">
        <x:v>commun:41</x:v>
      </x:c>
      <x:c r="O50" s="41" t="str">
        <x:v>commun:64</x:v>
      </x:c>
      <x:c r="P50" s="41" t="str">
        <x:v>commun:361</x:v>
      </x:c>
      <x:c r="Q50" s="41" t="str">
        <x:v>commun:444</x:v>
      </x:c>
      <x:c r="R50" s="41" t="str">
        <x:v>commun:118</x:v>
      </x:c>
      <x:c r="S50" s="41" t="str"/>
      <x:c r="T50" s="41" t="str">
        <x:v>bonfiglioli:m4sa:j-0p0216-m-34</x:v>
      </x:c>
    </x:row>
    <x:row r="51">
      <x:c r="A51" s="41" t="str">
        <x:v>M</x:v>
      </x:c>
      <x:c r="B51" s="41" t="str">
        <x:v>M 4SB</x:v>
      </x:c>
      <x:c r="C51" s="41" t="str">
        <x:v>j-0p0134-m-40</x:v>
      </x:c>
      <x:c r="D51" s="41" t="str">
        <x:v>2</x:v>
      </x:c>
      <x:c r="E51" s="43" t="str">
        <x:v>Moteur intégré pour motoréducteur - interface constructeur non IEC</x:v>
      </x:c>
      <x:c r="F51" s="43" t="str">
        <x:v>Catalogue_BONFIGLIOLI_Moteur.pdf p.114</x:v>
      </x:c>
      <x:c r="G51" s="41" t="str">
        <x:v>commun:258</x:v>
      </x:c>
      <x:c r="H51" s="41" t="str">
        <x:v>commun:193</x:v>
      </x:c>
      <x:c r="I51" s="41" t="str">
        <x:v>commun:118</x:v>
      </x:c>
      <x:c r="J51" s="41" t="str">
        <x:v>commun:38</x:v>
      </x:c>
      <x:c r="K51" s="41" t="str">
        <x:v>commun:M12</x:v>
      </x:c>
      <x:c r="L51" s="41" t="str">
        <x:v>commun:80</x:v>
      </x:c>
      <x:c r="M51" s="41" t="str">
        <x:v>commun:10</x:v>
      </x:c>
      <x:c r="N51" s="41" t="str">
        <x:v>commun:41</x:v>
      </x:c>
      <x:c r="O51" s="41" t="str">
        <x:v>commun:64</x:v>
      </x:c>
      <x:c r="P51" s="41" t="str">
        <x:v>commun:361</x:v>
      </x:c>
      <x:c r="Q51" s="41" t="str">
        <x:v>commun:444</x:v>
      </x:c>
      <x:c r="R51" s="41" t="str">
        <x:v>commun:118</x:v>
      </x:c>
      <x:c r="S51" s="41" t="str"/>
      <x:c r="T51" s="41" t="str">
        <x:v>bonfiglioli:m4sb:j-0p0134-m-40</x:v>
      </x:c>
    </x:row>
    <x:row r="52">
      <x:c r="A52" s="41" t="str">
        <x:v>M</x:v>
      </x:c>
      <x:c r="B52" s="41" t="str">
        <x:v>M 5LA</x:v>
      </x:c>
      <x:c r="C52" s="41" t="str">
        <x:v>j-0p049-m-95</x:v>
      </x:c>
      <x:c r="D52" s="41" t="str">
        <x:v>2</x:v>
      </x:c>
      <x:c r="E52" s="43" t="str">
        <x:v>Moteur intégré pour motoréducteur - interface constructeur non IEC</x:v>
      </x:c>
      <x:c r="F52" s="43" t="str">
        <x:v>Catalogue_BONFIGLIOLI_Moteur.pdf p.114</x:v>
      </x:c>
      <x:c r="G52" s="41" t="str">
        <x:v>commun:310</x:v>
      </x:c>
      <x:c r="H52" s="41" t="str">
        <x:v>commun:245</x:v>
      </x:c>
      <x:c r="I52" s="41" t="str">
        <x:v>commun:187</x:v>
      </x:c>
      <x:c r="J52" s="41" t="str">
        <x:v>commun:38</x:v>
      </x:c>
      <x:c r="K52" s="41" t="str">
        <x:v>commun:M12</x:v>
      </x:c>
      <x:c r="L52" s="41" t="str">
        <x:v>commun:80</x:v>
      </x:c>
      <x:c r="M52" s="41" t="str">
        <x:v>commun:10</x:v>
      </x:c>
      <x:c r="N52" s="41" t="str">
        <x:v>commun:41</x:v>
      </x:c>
      <x:c r="O52" s="41" t="str">
        <x:v>commun:77</x:v>
      </x:c>
      <x:c r="P52" s="41" t="str">
        <x:v>commun:462</x:v>
      </x:c>
      <x:c r="Q52" s="41" t="str">
        <x:v>commun:546</x:v>
      </x:c>
      <x:c r="R52" s="41" t="str">
        <x:v>commun:187</x:v>
      </x:c>
      <x:c r="S52" s="41" t="str">
        <x:v>commun:266</x:v>
      </x:c>
      <x:c r="T52" s="41" t="str">
        <x:v>bonfiglioli:m5la:j-0p049-m-95</x:v>
      </x:c>
    </x:row>
    <x:row r="53">
      <x:c r="A53" s="41" t="str">
        <x:v>M</x:v>
      </x:c>
      <x:c r="B53" s="41" t="str">
        <x:v>M 5LA</x:v>
      </x:c>
      <x:c r="C53" s="41" t="str">
        <x:v>j-0p079-m-101</x:v>
      </x:c>
      <x:c r="D53" s="41" t="str">
        <x:v>4</x:v>
      </x:c>
      <x:c r="E53" s="43" t="str">
        <x:v>Moteur intégré pour motoréducteur - interface constructeur non IEC</x:v>
      </x:c>
      <x:c r="F53" s="43" t="str">
        <x:v>Catalogue_BONFIGLIOLI_Moteur.pdf p.114</x:v>
      </x:c>
      <x:c r="G53" s="41" t="str">
        <x:v>commun:310</x:v>
      </x:c>
      <x:c r="H53" s="41" t="str">
        <x:v>commun:245</x:v>
      </x:c>
      <x:c r="I53" s="41" t="str">
        <x:v>commun:187</x:v>
      </x:c>
      <x:c r="J53" s="41" t="str">
        <x:v>commun:38</x:v>
      </x:c>
      <x:c r="K53" s="41" t="str">
        <x:v>commun:M12</x:v>
      </x:c>
      <x:c r="L53" s="41" t="str">
        <x:v>commun:80</x:v>
      </x:c>
      <x:c r="M53" s="41" t="str">
        <x:v>commun:10</x:v>
      </x:c>
      <x:c r="N53" s="41" t="str">
        <x:v>commun:41</x:v>
      </x:c>
      <x:c r="O53" s="41" t="str">
        <x:v>commun:77</x:v>
      </x:c>
      <x:c r="P53" s="41" t="str">
        <x:v>commun:462</x:v>
      </x:c>
      <x:c r="Q53" s="41" t="str">
        <x:v>commun:546</x:v>
      </x:c>
      <x:c r="R53" s="41" t="str">
        <x:v>commun:187</x:v>
      </x:c>
      <x:c r="S53" s="41" t="str">
        <x:v>commun:266</x:v>
      </x:c>
      <x:c r="T53" s="41" t="str">
        <x:v>bonfiglioli:m5la:j-0p079-m-101</x:v>
      </x:c>
    </x:row>
    <x:row r="54">
      <x:c r="A54" s="41" t="str">
        <x:v>M</x:v>
      </x:c>
      <x:c r="B54" s="41" t="str">
        <x:v>M 5SA</x:v>
      </x:c>
      <x:c r="C54" s="41" t="str">
        <x:v>j-0p07400000000000001-m-69</x:v>
      </x:c>
      <x:c r="D54" s="41" t="str">
        <x:v>6</x:v>
      </x:c>
      <x:c r="E54" s="43" t="str">
        <x:v>Moteur intégré pour motoréducteur - interface constructeur non IEC</x:v>
      </x:c>
      <x:c r="F54" s="43" t="str">
        <x:v>Catalogue_BONFIGLIOLI_Moteur.pdf p.114</x:v>
      </x:c>
      <x:c r="G54" s="41" t="str">
        <x:v>commun:310</x:v>
      </x:c>
      <x:c r="H54" s="41" t="str">
        <x:v>commun:245</x:v>
      </x:c>
      <x:c r="I54" s="41" t="str">
        <x:v>commun:187</x:v>
      </x:c>
      <x:c r="J54" s="41" t="str">
        <x:v>commun:38</x:v>
      </x:c>
      <x:c r="K54" s="41" t="str">
        <x:v>commun:M12</x:v>
      </x:c>
      <x:c r="L54" s="41" t="str">
        <x:v>commun:80</x:v>
      </x:c>
      <x:c r="M54" s="41" t="str">
        <x:v>commun:10</x:v>
      </x:c>
      <x:c r="N54" s="41" t="str">
        <x:v>commun:41</x:v>
      </x:c>
      <x:c r="O54" s="41" t="str">
        <x:v>commun:77</x:v>
      </x:c>
      <x:c r="P54" s="41" t="str">
        <x:v>commun:418</x:v>
      </x:c>
      <x:c r="Q54" s="41" t="str">
        <x:v>commun:502</x:v>
      </x:c>
      <x:c r="R54" s="41" t="str">
        <x:v>commun:187</x:v>
      </x:c>
      <x:c r="S54" s="41" t="str">
        <x:v>commun:266</x:v>
      </x:c>
      <x:c r="T54" s="41" t="str">
        <x:v>bonfiglioli:m5sa:j-0p07400000000000001-m-69</x:v>
      </x:c>
    </x:row>
    <x:row r="55">
      <x:c r="A55" s="41" t="str">
        <x:v>M</x:v>
      </x:c>
      <x:c r="B55" s="41" t="str">
        <x:v>M 5SB</x:v>
      </x:c>
      <x:c r="C55" s="41" t="str">
        <x:v>j-0p034-m-70</x:v>
      </x:c>
      <x:c r="D55" s="41" t="str">
        <x:v>2</x:v>
      </x:c>
      <x:c r="E55" s="43" t="str">
        <x:v>Moteur intégré pour motoréducteur - interface constructeur non IEC</x:v>
      </x:c>
      <x:c r="F55" s="43" t="str">
        <x:v>Catalogue_BONFIGLIOLI_Moteur.pdf p.114</x:v>
      </x:c>
      <x:c r="G55" s="41" t="str">
        <x:v>commun:310</x:v>
      </x:c>
      <x:c r="H55" s="41" t="str">
        <x:v>commun:245</x:v>
      </x:c>
      <x:c r="I55" s="41" t="str">
        <x:v>commun:187</x:v>
      </x:c>
      <x:c r="J55" s="41" t="str">
        <x:v>commun:38</x:v>
      </x:c>
      <x:c r="K55" s="41" t="str">
        <x:v>commun:M12</x:v>
      </x:c>
      <x:c r="L55" s="41" t="str">
        <x:v>commun:80</x:v>
      </x:c>
      <x:c r="M55" s="41" t="str">
        <x:v>commun:10</x:v>
      </x:c>
      <x:c r="N55" s="41" t="str">
        <x:v>commun:41</x:v>
      </x:c>
      <x:c r="O55" s="41" t="str">
        <x:v>commun:77</x:v>
      </x:c>
      <x:c r="P55" s="41" t="str">
        <x:v>commun:418</x:v>
      </x:c>
      <x:c r="Q55" s="41" t="str">
        <x:v>commun:502</x:v>
      </x:c>
      <x:c r="R55" s="41" t="str">
        <x:v>commun:187</x:v>
      </x:c>
      <x:c r="S55" s="41" t="str">
        <x:v>commun:266</x:v>
      </x:c>
      <x:c r="T55" s="41" t="str">
        <x:v>bonfiglioli:m5sb:j-0p034-m-70</x:v>
      </x:c>
    </x:row>
    <x:row r="56">
      <x:c r="A56" s="41" t="str">
        <x:v>M</x:v>
      </x:c>
      <x:c r="B56" s="41" t="str">
        <x:v>M 5SB</x:v>
      </x:c>
      <x:c r="C56" s="41" t="str">
        <x:v>j-0p065-m-85</x:v>
      </x:c>
      <x:c r="D56" s="41" t="str">
        <x:v>4</x:v>
      </x:c>
      <x:c r="E56" s="43" t="str">
        <x:v>Moteur intégré pour motoréducteur - interface constructeur non IEC</x:v>
      </x:c>
      <x:c r="F56" s="43" t="str">
        <x:v>Catalogue_BONFIGLIOLI_Moteur.pdf p.114</x:v>
      </x:c>
      <x:c r="G56" s="41" t="str">
        <x:v>commun:310</x:v>
      </x:c>
      <x:c r="H56" s="41" t="str">
        <x:v>commun:245</x:v>
      </x:c>
      <x:c r="I56" s="41" t="str">
        <x:v>commun:187</x:v>
      </x:c>
      <x:c r="J56" s="41" t="str">
        <x:v>commun:38</x:v>
      </x:c>
      <x:c r="K56" s="41" t="str">
        <x:v>commun:M12</x:v>
      </x:c>
      <x:c r="L56" s="41" t="str">
        <x:v>commun:80</x:v>
      </x:c>
      <x:c r="M56" s="41" t="str">
        <x:v>commun:10</x:v>
      </x:c>
      <x:c r="N56" s="41" t="str">
        <x:v>commun:41</x:v>
      </x:c>
      <x:c r="O56" s="41" t="str">
        <x:v>commun:77</x:v>
      </x:c>
      <x:c r="P56" s="41" t="str">
        <x:v>commun:418</x:v>
      </x:c>
      <x:c r="Q56" s="41" t="str">
        <x:v>commun:502</x:v>
      </x:c>
      <x:c r="R56" s="41" t="str">
        <x:v>commun:187</x:v>
      </x:c>
      <x:c r="S56" s="41" t="str">
        <x:v>commun:266</x:v>
      </x:c>
      <x:c r="T56" s="41" t="str">
        <x:v>bonfiglioli:m5sb:j-0p065-m-85</x:v>
      </x:c>
    </x:row>
    <x:row r="57">
      <x:c r="A57" s="41" t="str">
        <x:v>M</x:v>
      </x:c>
      <x:c r="B57" s="41" t="str">
        <x:v>M 5SB</x:v>
      </x:c>
      <x:c r="C57" s="41" t="str">
        <x:v>j-0p097-m-89</x:v>
      </x:c>
      <x:c r="D57" s="41" t="str">
        <x:v>6</x:v>
      </x:c>
      <x:c r="E57" s="43" t="str">
        <x:v>Moteur intégré pour motoréducteur - interface constructeur non IEC</x:v>
      </x:c>
      <x:c r="F57" s="43" t="str">
        <x:v>Catalogue_BONFIGLIOLI_Moteur.pdf p.114</x:v>
      </x:c>
      <x:c r="G57" s="41" t="str">
        <x:v>commun:310</x:v>
      </x:c>
      <x:c r="H57" s="41" t="str">
        <x:v>commun:245</x:v>
      </x:c>
      <x:c r="I57" s="41" t="str">
        <x:v>commun:187</x:v>
      </x:c>
      <x:c r="J57" s="41" t="str">
        <x:v>commun:38</x:v>
      </x:c>
      <x:c r="K57" s="41" t="str">
        <x:v>commun:M12</x:v>
      </x:c>
      <x:c r="L57" s="41" t="str">
        <x:v>commun:80</x:v>
      </x:c>
      <x:c r="M57" s="41" t="str">
        <x:v>commun:10</x:v>
      </x:c>
      <x:c r="N57" s="41" t="str">
        <x:v>commun:41</x:v>
      </x:c>
      <x:c r="O57" s="41" t="str">
        <x:v>commun:77</x:v>
      </x:c>
      <x:c r="P57" s="41" t="str">
        <x:v>commun:418</x:v>
      </x:c>
      <x:c r="Q57" s="41" t="str">
        <x:v>commun:502</x:v>
      </x:c>
      <x:c r="R57" s="41" t="str">
        <x:v>commun:187</x:v>
      </x:c>
      <x:c r="S57" s="41" t="str">
        <x:v>commun:266</x:v>
      </x:c>
      <x:c r="T57" s="41" t="str">
        <x:v>bonfiglioli:m5sb:j-0p097-m-89</x:v>
      </x:c>
    </x:row>
    <x:row r="58">
      <x:c r="A58" s="41" t="str">
        <x:v>M</x:v>
      </x:c>
      <x:c r="B58" s="41" t="str">
        <x:v>M 5SC</x:v>
      </x:c>
      <x:c r="C58" s="41" t="str">
        <x:v>j-0p042-m-83</x:v>
      </x:c>
      <x:c r="D58" s="41" t="str">
        <x:v>2</x:v>
      </x:c>
      <x:c r="E58" s="43" t="str">
        <x:v>Moteur intégré pour motoréducteur - interface constructeur non IEC</x:v>
      </x:c>
      <x:c r="F58" s="43" t="str">
        <x:v>Catalogue_BONFIGLIOLI_Moteur.pdf p.114</x:v>
      </x:c>
      <x:c r="G58" s="41" t="str">
        <x:v>commun:310</x:v>
      </x:c>
      <x:c r="H58" s="41" t="str">
        <x:v>commun:245</x:v>
      </x:c>
      <x:c r="I58" s="41" t="str">
        <x:v>commun:187</x:v>
      </x:c>
      <x:c r="J58" s="41" t="str">
        <x:v>commun:38</x:v>
      </x:c>
      <x:c r="K58" s="41" t="str">
        <x:v>commun:M12</x:v>
      </x:c>
      <x:c r="L58" s="41" t="str">
        <x:v>commun:80</x:v>
      </x:c>
      <x:c r="M58" s="41" t="str">
        <x:v>commun:10</x:v>
      </x:c>
      <x:c r="N58" s="41" t="str">
        <x:v>commun:41</x:v>
      </x:c>
      <x:c r="O58" s="41" t="str">
        <x:v>commun:77</x:v>
      </x:c>
      <x:c r="P58" s="41" t="str">
        <x:v>commun:418</x:v>
      </x:c>
      <x:c r="Q58" s="41" t="str">
        <x:v>commun:502</x:v>
      </x:c>
      <x:c r="R58" s="41" t="str">
        <x:v>commun:187</x:v>
      </x:c>
      <x:c r="S58" s="41" t="str">
        <x:v>commun:266</x:v>
      </x:c>
      <x:c r="T58" s="41" t="str">
        <x:v>bonfiglioli:m5sc:j-0p042-m-83</x:v>
      </x:c>
    </x:row>
    <x:row r="59">
      <x:c r="A59" s="41" t="str">
        <x:v>ME</x:v>
      </x:c>
      <x:c r="B59" s="41" t="str">
        <x:v>ME 05A</x:v>
      </x:c>
      <x:c r="C59" s="41" t="str">
        <x:v>j-0p00022999999999999998-m-3p6</x:v>
      </x:c>
      <x:c r="D59" s="41" t="str">
        <x:v>4</x:v>
      </x:c>
      <x:c r="E59" s="43" t="str">
        <x:v>Moteur intégré pour motoréducteur - interface constructeur non IEC</x:v>
      </x:c>
      <x:c r="F59" s="43" t="str">
        <x:v>Catalogue_BONFIGLIOLI_Moteur.pdf p.96</x:v>
      </x:c>
      <x:c r="G59" s="41" t="str">
        <x:v>commun:121</x:v>
      </x:c>
      <x:c r="H59" s="41" t="str">
        <x:v>commun:95</x:v>
      </x:c>
      <x:c r="I59" s="41" t="str">
        <x:v>commun:74</x:v>
      </x:c>
      <x:c r="J59" s="41" t="str">
        <x:v>commun:11</x:v>
      </x:c>
      <x:c r="K59" s="41" t="str">
        <x:v>commun:M4</x:v>
      </x:c>
      <x:c r="L59" s="41" t="str">
        <x:v>commun:23</x:v>
      </x:c>
      <x:c r="M59" s="41" t="str">
        <x:v>commun:12.5</x:v>
      </x:c>
      <x:c r="N59" s="41" t="str">
        <x:v>commun:4</x:v>
      </x:c>
      <x:c r="O59" s="41" t="str">
        <x:v>commun:48</x:v>
      </x:c>
      <x:c r="P59" s="41" t="str">
        <x:v>commun:165</x:v>
      </x:c>
      <x:c r="Q59" s="41" t="str">
        <x:v>commun:191</x:v>
      </x:c>
      <x:c r="R59" s="41" t="str">
        <x:v>commun:80</x:v>
      </x:c>
      <x:c r="S59" s="41" t="str"/>
      <x:c r="T59" s="41" t="str">
        <x:v>bonfiglioli:me05a:j-0p00022999999999999998-m-3p6</x:v>
      </x:c>
    </x:row>
    <x:row r="60">
      <x:c r="A60" s="41" t="str">
        <x:v>ME</x:v>
      </x:c>
      <x:c r="B60" s="41" t="str">
        <x:v>ME 05B</x:v>
      </x:c>
      <x:c r="C60" s="41" t="str">
        <x:v>j-0p00033-m-4p8</x:v>
      </x:c>
      <x:c r="D60" s="41" t="str">
        <x:v>4</x:v>
      </x:c>
      <x:c r="E60" s="43" t="str">
        <x:v>Moteur intégré pour motoréducteur - interface constructeur non IEC</x:v>
      </x:c>
      <x:c r="F60" s="43" t="str">
        <x:v>Catalogue_BONFIGLIOLI_Moteur.pdf p.96</x:v>
      </x:c>
      <x:c r="G60" s="41" t="str">
        <x:v>commun:121</x:v>
      </x:c>
      <x:c r="H60" s="41" t="str">
        <x:v>commun:95</x:v>
      </x:c>
      <x:c r="I60" s="41" t="str">
        <x:v>commun:74</x:v>
      </x:c>
      <x:c r="J60" s="41" t="str">
        <x:v>commun:11</x:v>
      </x:c>
      <x:c r="K60" s="41" t="str">
        <x:v>commun:M4</x:v>
      </x:c>
      <x:c r="L60" s="41" t="str">
        <x:v>commun:23</x:v>
      </x:c>
      <x:c r="M60" s="41" t="str">
        <x:v>commun:12.5</x:v>
      </x:c>
      <x:c r="N60" s="41" t="str">
        <x:v>commun:4</x:v>
      </x:c>
      <x:c r="O60" s="41" t="str">
        <x:v>commun:48</x:v>
      </x:c>
      <x:c r="P60" s="41" t="str">
        <x:v>commun:165</x:v>
      </x:c>
      <x:c r="Q60" s="41" t="str">
        <x:v>commun:191</x:v>
      </x:c>
      <x:c r="R60" s="41" t="str">
        <x:v>commun:80</x:v>
      </x:c>
      <x:c r="S60" s="41" t="str"/>
      <x:c r="T60" s="41" t="str">
        <x:v>bonfiglioli:me05b:j-0p00033-m-4p8</x:v>
      </x:c>
    </x:row>
    <x:row r="61">
      <x:c r="A61" s="41" t="str">
        <x:v>ME</x:v>
      </x:c>
      <x:c r="B61" s="41" t="str">
        <x:v>ME 1SA</x:v>
      </x:c>
      <x:c r="C61" s="41" t="str">
        <x:v>j-0p00058-m-4p8</x:v>
      </x:c>
      <x:c r="D61" s="41" t="str">
        <x:v>4</x:v>
      </x:c>
      <x:c r="E61" s="43" t="str">
        <x:v>Moteur intégré pour motoréducteur - interface constructeur non IEC</x:v>
      </x:c>
      <x:c r="F61" s="43" t="str">
        <x:v>Catalogue_BONFIGLIOLI_Moteur.pdf p.96</x:v>
      </x:c>
      <x:c r="G61" s="41" t="str">
        <x:v>commun:138</x:v>
      </x:c>
      <x:c r="H61" s="41" t="str">
        <x:v>commun:108</x:v>
      </x:c>
      <x:c r="I61" s="41" t="str">
        <x:v>commun:74</x:v>
      </x:c>
      <x:c r="J61" s="41" t="str">
        <x:v>commun:14</x:v>
      </x:c>
      <x:c r="K61" s="41" t="str">
        <x:v>commun:M5</x:v>
      </x:c>
      <x:c r="L61" s="41" t="str">
        <x:v>commun:30</x:v>
      </x:c>
      <x:c r="M61" s="41" t="str">
        <x:v>commun:16</x:v>
      </x:c>
      <x:c r="N61" s="41" t="str">
        <x:v>commun:5</x:v>
      </x:c>
      <x:c r="O61" s="41" t="str">
        <x:v>commun:45</x:v>
      </x:c>
      <x:c r="P61" s="41" t="str">
        <x:v>commun:187</x:v>
      </x:c>
      <x:c r="Q61" s="41" t="str">
        <x:v>commun:219</x:v>
      </x:c>
      <x:c r="R61" s="41" t="str">
        <x:v>commun:80</x:v>
      </x:c>
      <x:c r="S61" s="41" t="str"/>
      <x:c r="T61" s="41" t="str">
        <x:v>bonfiglioli:me1sa:j-0p00058-m-4p8</x:v>
      </x:c>
    </x:row>
    <x:row r="62">
      <x:c r="A62" s="41" t="str">
        <x:v>ME</x:v>
      </x:c>
      <x:c r="B62" s="41" t="str">
        <x:v>ME 1SB</x:v>
      </x:c>
      <x:c r="C62" s="41" t="str">
        <x:v>j-0p0006900000000000001-m-5p5</x:v>
      </x:c>
      <x:c r="D62" s="41" t="str">
        <x:v>4</x:v>
      </x:c>
      <x:c r="E62" s="43" t="str">
        <x:v>Moteur intégré pour motoréducteur - interface constructeur non IEC</x:v>
      </x:c>
      <x:c r="F62" s="43" t="str">
        <x:v>Catalogue_BONFIGLIOLI_Moteur.pdf p.96</x:v>
      </x:c>
      <x:c r="G62" s="41" t="str">
        <x:v>commun:138</x:v>
      </x:c>
      <x:c r="H62" s="41" t="str">
        <x:v>commun:108</x:v>
      </x:c>
      <x:c r="I62" s="41" t="str">
        <x:v>commun:74</x:v>
      </x:c>
      <x:c r="J62" s="41" t="str">
        <x:v>commun:14</x:v>
      </x:c>
      <x:c r="K62" s="41" t="str">
        <x:v>commun:M5</x:v>
      </x:c>
      <x:c r="L62" s="41" t="str">
        <x:v>commun:30</x:v>
      </x:c>
      <x:c r="M62" s="41" t="str">
        <x:v>commun:16</x:v>
      </x:c>
      <x:c r="N62" s="41" t="str">
        <x:v>commun:5</x:v>
      </x:c>
      <x:c r="O62" s="41" t="str">
        <x:v>commun:45</x:v>
      </x:c>
      <x:c r="P62" s="41" t="str">
        <x:v>commun:187</x:v>
      </x:c>
      <x:c r="Q62" s="41" t="str">
        <x:v>commun:219</x:v>
      </x:c>
      <x:c r="R62" s="41" t="str">
        <x:v>commun:80</x:v>
      </x:c>
      <x:c r="S62" s="41" t="str"/>
      <x:c r="T62" s="41" t="str">
        <x:v>bonfiglioli:me1sb:j-0p0006900000000000001-m-5p5</x:v>
      </x:c>
    </x:row>
    <x:row r="63">
      <x:c r="A63" s="41" t="str">
        <x:v>ME</x:v>
      </x:c>
      <x:c r="B63" s="41" t="str">
        <x:v>ME 2SA</x:v>
      </x:c>
      <x:c r="C63" s="41" t="str">
        <x:v>j-0p0009000000000000001-m-8p8</x:v>
      </x:c>
      <x:c r="D63" s="41" t="str">
        <x:v>2</x:v>
      </x:c>
      <x:c r="E63" s="43" t="str">
        <x:v>Moteur intégré pour motoréducteur - interface constructeur non IEC</x:v>
      </x:c>
      <x:c r="F63" s="43" t="str">
        <x:v>Catalogue_BONFIGLIOLI_Moteur.pdf p.96</x:v>
      </x:c>
      <x:c r="G63" s="41" t="str">
        <x:v>commun:156</x:v>
      </x:c>
      <x:c r="H63" s="41" t="str">
        <x:v>commun:119</x:v>
      </x:c>
      <x:c r="I63" s="41" t="str">
        <x:v>commun:74</x:v>
      </x:c>
      <x:c r="J63" s="41" t="str">
        <x:v>commun:19</x:v>
      </x:c>
      <x:c r="K63" s="41" t="str">
        <x:v>commun:M6</x:v>
      </x:c>
      <x:c r="L63" s="41" t="str">
        <x:v>commun:40</x:v>
      </x:c>
      <x:c r="M63" s="41" t="str">
        <x:v>commun:21.5</x:v>
      </x:c>
      <x:c r="N63" s="41" t="str">
        <x:v>commun:6</x:v>
      </x:c>
      <x:c r="O63" s="41" t="str">
        <x:v>commun:44</x:v>
      </x:c>
      <x:c r="P63" s="41" t="str">
        <x:v>commun:202</x:v>
      </x:c>
      <x:c r="Q63" s="41" t="str">
        <x:v>commun:245</x:v>
      </x:c>
      <x:c r="R63" s="41" t="str">
        <x:v>commun:80</x:v>
      </x:c>
      <x:c r="S63" s="41" t="str"/>
      <x:c r="T63" s="41" t="str">
        <x:v>bonfiglioli:me2sa:j-0p0009000000000000001-m-8p8</x:v>
      </x:c>
    </x:row>
    <x:row r="64">
      <x:c r="A64" s="41" t="str">
        <x:v>ME</x:v>
      </x:c>
      <x:c r="B64" s="41" t="str">
        <x:v>ME 2SA</x:v>
      </x:c>
      <x:c r="C64" s="41" t="str">
        <x:v>j-0p0019-m-9p9</x:v>
      </x:c>
      <x:c r="D64" s="41" t="str">
        <x:v>4</x:v>
      </x:c>
      <x:c r="E64" s="43" t="str">
        <x:v>Moteur intégré pour motoréducteur - interface constructeur non IEC</x:v>
      </x:c>
      <x:c r="F64" s="43" t="str">
        <x:v>Catalogue_BONFIGLIOLI_Moteur.pdf p.96</x:v>
      </x:c>
      <x:c r="G64" s="41" t="str">
        <x:v>commun:156</x:v>
      </x:c>
      <x:c r="H64" s="41" t="str">
        <x:v>commun:119</x:v>
      </x:c>
      <x:c r="I64" s="41" t="str">
        <x:v>commun:74</x:v>
      </x:c>
      <x:c r="J64" s="41" t="str">
        <x:v>commun:19</x:v>
      </x:c>
      <x:c r="K64" s="41" t="str">
        <x:v>commun:M6</x:v>
      </x:c>
      <x:c r="L64" s="41" t="str">
        <x:v>commun:40</x:v>
      </x:c>
      <x:c r="M64" s="41" t="str">
        <x:v>commun:21.5</x:v>
      </x:c>
      <x:c r="N64" s="41" t="str">
        <x:v>commun:6</x:v>
      </x:c>
      <x:c r="O64" s="41" t="str">
        <x:v>commun:44</x:v>
      </x:c>
      <x:c r="P64" s="41" t="str">
        <x:v>commun:202</x:v>
      </x:c>
      <x:c r="Q64" s="41" t="str">
        <x:v>commun:245</x:v>
      </x:c>
      <x:c r="R64" s="41" t="str">
        <x:v>commun:80</x:v>
      </x:c>
      <x:c r="S64" s="41" t="str"/>
      <x:c r="T64" s="41" t="str">
        <x:v>bonfiglioli:me2sa:j-0p0019-m-9p9</x:v>
      </x:c>
    </x:row>
    <x:row r="65">
      <x:c r="A65" s="41" t="str">
        <x:v>ME</x:v>
      </x:c>
      <x:c r="B65" s="41" t="str">
        <x:v>ME 2SB</x:v>
      </x:c>
      <x:c r="C65" s="41" t="str">
        <x:v>j-0p0011400000000000002-m-10p6</x:v>
      </x:c>
      <x:c r="D65" s="41" t="str">
        <x:v>2</x:v>
      </x:c>
      <x:c r="E65" s="43" t="str">
        <x:v>Moteur intégré pour motoréducteur - interface constructeur non IEC</x:v>
      </x:c>
      <x:c r="F65" s="43" t="str">
        <x:v>Catalogue_BONFIGLIOLI_Moteur.pdf p.96</x:v>
      </x:c>
      <x:c r="G65" s="41" t="str">
        <x:v>commun:156</x:v>
      </x:c>
      <x:c r="H65" s="41" t="str">
        <x:v>commun:119</x:v>
      </x:c>
      <x:c r="I65" s="41" t="str">
        <x:v>commun:74</x:v>
      </x:c>
      <x:c r="J65" s="41" t="str">
        <x:v>commun:19</x:v>
      </x:c>
      <x:c r="K65" s="41" t="str">
        <x:v>commun:M6</x:v>
      </x:c>
      <x:c r="L65" s="41" t="str">
        <x:v>commun:40</x:v>
      </x:c>
      <x:c r="M65" s="41" t="str">
        <x:v>commun:21.5</x:v>
      </x:c>
      <x:c r="N65" s="41" t="str">
        <x:v>commun:6</x:v>
      </x:c>
      <x:c r="O65" s="41" t="str">
        <x:v>commun:44</x:v>
      </x:c>
      <x:c r="P65" s="41" t="str">
        <x:v>commun:202</x:v>
      </x:c>
      <x:c r="Q65" s="41" t="str">
        <x:v>commun:245</x:v>
      </x:c>
      <x:c r="R65" s="41" t="str">
        <x:v>commun:80</x:v>
      </x:c>
      <x:c r="S65" s="41" t="str"/>
      <x:c r="T65" s="41" t="str">
        <x:v>bonfiglioli:me2sb:j-0p0011400000000000002-m-10p6</x:v>
      </x:c>
    </x:row>
    <x:row r="66">
      <x:c r="A66" s="41" t="str">
        <x:v>ME</x:v>
      </x:c>
      <x:c r="B66" s="41" t="str">
        <x:v>ME 2SB</x:v>
      </x:c>
      <x:c r="C66" s="41" t="str">
        <x:v>j-0p0028-m-12p2</x:v>
      </x:c>
      <x:c r="D66" s="41" t="str">
        <x:v>4</x:v>
      </x:c>
      <x:c r="E66" s="43" t="str">
        <x:v>Moteur intégré pour motoréducteur - interface constructeur non IEC</x:v>
      </x:c>
      <x:c r="F66" s="43" t="str">
        <x:v>Catalogue_BONFIGLIOLI_Moteur.pdf p.96</x:v>
      </x:c>
      <x:c r="G66" s="41" t="str">
        <x:v>commun:156</x:v>
      </x:c>
      <x:c r="H66" s="41" t="str">
        <x:v>commun:119</x:v>
      </x:c>
      <x:c r="I66" s="41" t="str">
        <x:v>commun:74</x:v>
      </x:c>
      <x:c r="J66" s="41" t="str">
        <x:v>commun:19</x:v>
      </x:c>
      <x:c r="K66" s="41" t="str">
        <x:v>commun:M6</x:v>
      </x:c>
      <x:c r="L66" s="41" t="str">
        <x:v>commun:40</x:v>
      </x:c>
      <x:c r="M66" s="41" t="str">
        <x:v>commun:21.5</x:v>
      </x:c>
      <x:c r="N66" s="41" t="str">
        <x:v>commun:6</x:v>
      </x:c>
      <x:c r="O66" s="41" t="str">
        <x:v>commun:44</x:v>
      </x:c>
      <x:c r="P66" s="41" t="str">
        <x:v>commun:202</x:v>
      </x:c>
      <x:c r="Q66" s="41" t="str">
        <x:v>commun:245</x:v>
      </x:c>
      <x:c r="R66" s="41" t="str">
        <x:v>commun:80</x:v>
      </x:c>
      <x:c r="S66" s="41" t="str"/>
      <x:c r="T66" s="41" t="str">
        <x:v>bonfiglioli:me2sb:j-0p0028-m-12p2</x:v>
      </x:c>
    </x:row>
    <x:row r="67">
      <x:c r="A67" s="41" t="str">
        <x:v>ME</x:v>
      </x:c>
      <x:c r="B67" s="41" t="str">
        <x:v>ME 3LA</x:v>
      </x:c>
      <x:c r="C67" s="41" t="str">
        <x:v>j-0p0031000000000000003-m-18p7</x:v>
      </x:c>
      <x:c r="D67" s="41" t="str">
        <x:v>2</x:v>
      </x:c>
      <x:c r="E67" s="43" t="str">
        <x:v>Moteur intégré pour motoréducteur - interface constructeur non IEC</x:v>
      </x:c>
      <x:c r="F67" s="43" t="str">
        <x:v>Catalogue_BONFIGLIOLI_Moteur.pdf p.96</x:v>
      </x:c>
      <x:c r="G67" s="41" t="str">
        <x:v>commun:195</x:v>
      </x:c>
      <x:c r="H67" s="41" t="str">
        <x:v>commun:142</x:v>
      </x:c>
      <x:c r="I67" s="41" t="str">
        <x:v>commun:98</x:v>
      </x:c>
      <x:c r="J67" s="41" t="str">
        <x:v>commun:28</x:v>
      </x:c>
      <x:c r="K67" s="41" t="str">
        <x:v>commun:M10</x:v>
      </x:c>
      <x:c r="L67" s="41" t="str">
        <x:v>commun:60</x:v>
      </x:c>
      <x:c r="M67" s="41" t="str">
        <x:v>commun:31</x:v>
      </x:c>
      <x:c r="N67" s="41" t="str">
        <x:v>commun:8</x:v>
      </x:c>
      <x:c r="O67" s="41" t="str">
        <x:v>commun:53</x:v>
      </x:c>
      <x:c r="P67" s="41" t="str">
        <x:v>commun:262</x:v>
      </x:c>
      <x:c r="Q67" s="41" t="str">
        <x:v>commun:325</x:v>
      </x:c>
      <x:c r="R67" s="41" t="str">
        <x:v>commun:98</x:v>
      </x:c>
      <x:c r="S67" s="41" t="str"/>
      <x:c r="T67" s="41" t="str">
        <x:v>bonfiglioli:me3la:j-0p0031000000000000003-m-18p7</x:v>
      </x:c>
    </x:row>
    <x:row r="68">
      <x:c r="A68" s="41" t="str">
        <x:v>ME</x:v>
      </x:c>
      <x:c r="B68" s="41" t="str">
        <x:v>ME 3LA</x:v>
      </x:c>
      <x:c r="C68" s="41" t="str">
        <x:v>j-0p0054-m-21</x:v>
      </x:c>
      <x:c r="D68" s="41" t="str">
        <x:v>4</x:v>
      </x:c>
      <x:c r="E68" s="43" t="str">
        <x:v>Moteur intégré pour motoréducteur - interface constructeur non IEC</x:v>
      </x:c>
      <x:c r="F68" s="43" t="str">
        <x:v>Catalogue_BONFIGLIOLI_Moteur.pdf p.96</x:v>
      </x:c>
      <x:c r="G68" s="41" t="str">
        <x:v>commun:195</x:v>
      </x:c>
      <x:c r="H68" s="41" t="str">
        <x:v>commun:142</x:v>
      </x:c>
      <x:c r="I68" s="41" t="str">
        <x:v>commun:98</x:v>
      </x:c>
      <x:c r="J68" s="41" t="str">
        <x:v>commun:28</x:v>
      </x:c>
      <x:c r="K68" s="41" t="str">
        <x:v>commun:M10</x:v>
      </x:c>
      <x:c r="L68" s="41" t="str">
        <x:v>commun:60</x:v>
      </x:c>
      <x:c r="M68" s="41" t="str">
        <x:v>commun:31</x:v>
      </x:c>
      <x:c r="N68" s="41" t="str">
        <x:v>commun:8</x:v>
      </x:c>
      <x:c r="O68" s="41" t="str">
        <x:v>commun:53</x:v>
      </x:c>
      <x:c r="P68" s="41" t="str">
        <x:v>commun:262</x:v>
      </x:c>
      <x:c r="Q68" s="41" t="str">
        <x:v>commun:325</x:v>
      </x:c>
      <x:c r="R68" s="41" t="str">
        <x:v>commun:98</x:v>
      </x:c>
      <x:c r="S68" s="41" t="str"/>
      <x:c r="T68" s="41" t="str">
        <x:v>bonfiglioli:me3la:j-0p0054-m-21</x:v>
      </x:c>
    </x:row>
    <x:row r="69">
      <x:c r="A69" s="41" t="str">
        <x:v>ME</x:v>
      </x:c>
      <x:c r="B69" s="41" t="str">
        <x:v>ME 3LA</x:v>
      </x:c>
      <x:c r="C69" s="41" t="str">
        <x:v>j-0p0082-m-21</x:v>
      </x:c>
      <x:c r="D69" s="41" t="str">
        <x:v>6</x:v>
      </x:c>
      <x:c r="E69" s="43" t="str">
        <x:v>Moteur intégré pour motoréducteur - interface constructeur non IEC</x:v>
      </x:c>
      <x:c r="F69" s="43" t="str">
        <x:v>Catalogue_BONFIGLIOLI_Moteur.pdf p.96</x:v>
      </x:c>
      <x:c r="G69" s="41" t="str">
        <x:v>commun:195</x:v>
      </x:c>
      <x:c r="H69" s="41" t="str">
        <x:v>commun:142</x:v>
      </x:c>
      <x:c r="I69" s="41" t="str">
        <x:v>commun:98</x:v>
      </x:c>
      <x:c r="J69" s="41" t="str">
        <x:v>commun:28</x:v>
      </x:c>
      <x:c r="K69" s="41" t="str">
        <x:v>commun:M10</x:v>
      </x:c>
      <x:c r="L69" s="41" t="str">
        <x:v>commun:60</x:v>
      </x:c>
      <x:c r="M69" s="41" t="str">
        <x:v>commun:31</x:v>
      </x:c>
      <x:c r="N69" s="41" t="str">
        <x:v>commun:8</x:v>
      </x:c>
      <x:c r="O69" s="41" t="str">
        <x:v>commun:53</x:v>
      </x:c>
      <x:c r="P69" s="41" t="str">
        <x:v>commun:262</x:v>
      </x:c>
      <x:c r="Q69" s="41" t="str">
        <x:v>commun:325</x:v>
      </x:c>
      <x:c r="R69" s="41" t="str">
        <x:v>commun:98</x:v>
      </x:c>
      <x:c r="S69" s="41" t="str"/>
      <x:c r="T69" s="41" t="str">
        <x:v>bonfiglioli:me3la:j-0p0082-m-21</x:v>
      </x:c>
    </x:row>
    <x:row r="70">
      <x:c r="A70" s="41" t="str">
        <x:v>ME</x:v>
      </x:c>
      <x:c r="B70" s="41" t="str">
        <x:v>ME 3LB</x:v>
      </x:c>
      <x:c r="C70" s="41" t="str">
        <x:v>j-0p0039000000000000003-m-22</x:v>
      </x:c>
      <x:c r="D70" s="41" t="str">
        <x:v>2</x:v>
      </x:c>
      <x:c r="E70" s="43" t="str">
        <x:v>Moteur intégré pour motoréducteur - interface constructeur non IEC</x:v>
      </x:c>
      <x:c r="F70" s="43" t="str">
        <x:v>Catalogue_BONFIGLIOLI_Moteur.pdf p.96</x:v>
      </x:c>
      <x:c r="G70" s="41" t="str">
        <x:v>commun:195</x:v>
      </x:c>
      <x:c r="H70" s="41" t="str">
        <x:v>commun:142</x:v>
      </x:c>
      <x:c r="I70" s="41" t="str">
        <x:v>commun:98</x:v>
      </x:c>
      <x:c r="J70" s="41" t="str">
        <x:v>commun:28</x:v>
      </x:c>
      <x:c r="K70" s="41" t="str">
        <x:v>commun:M10</x:v>
      </x:c>
      <x:c r="L70" s="41" t="str">
        <x:v>commun:60</x:v>
      </x:c>
      <x:c r="M70" s="41" t="str">
        <x:v>commun:31</x:v>
      </x:c>
      <x:c r="N70" s="41" t="str">
        <x:v>commun:8</x:v>
      </x:c>
      <x:c r="O70" s="41" t="str">
        <x:v>commun:53</x:v>
      </x:c>
      <x:c r="P70" s="41" t="str">
        <x:v>commun:262</x:v>
      </x:c>
      <x:c r="Q70" s="41" t="str">
        <x:v>commun:325</x:v>
      </x:c>
      <x:c r="R70" s="41" t="str">
        <x:v>commun:98</x:v>
      </x:c>
      <x:c r="S70" s="41" t="str"/>
      <x:c r="T70" s="41" t="str">
        <x:v>bonfiglioli:me3lb:j-0p0039000000000000003-m-22</x:v>
      </x:c>
    </x:row>
    <x:row r="71">
      <x:c r="A71" s="41" t="str">
        <x:v>ME</x:v>
      </x:c>
      <x:c r="B71" s="41" t="str">
        <x:v>ME 3LB</x:v>
      </x:c>
      <x:c r="C71" s="41" t="str">
        <x:v>j-0p0061-m-23</x:v>
      </x:c>
      <x:c r="D71" s="41" t="str">
        <x:v>4</x:v>
      </x:c>
      <x:c r="E71" s="43" t="str">
        <x:v>Moteur intégré pour motoréducteur - interface constructeur non IEC</x:v>
      </x:c>
      <x:c r="F71" s="43" t="str">
        <x:v>Catalogue_BONFIGLIOLI_Moteur.pdf p.96</x:v>
      </x:c>
      <x:c r="G71" s="41" t="str">
        <x:v>commun:195</x:v>
      </x:c>
      <x:c r="H71" s="41" t="str">
        <x:v>commun:142</x:v>
      </x:c>
      <x:c r="I71" s="41" t="str">
        <x:v>commun:98</x:v>
      </x:c>
      <x:c r="J71" s="41" t="str">
        <x:v>commun:28</x:v>
      </x:c>
      <x:c r="K71" s="41" t="str">
        <x:v>commun:M10</x:v>
      </x:c>
      <x:c r="L71" s="41" t="str">
        <x:v>commun:60</x:v>
      </x:c>
      <x:c r="M71" s="41" t="str">
        <x:v>commun:31</x:v>
      </x:c>
      <x:c r="N71" s="41" t="str">
        <x:v>commun:8</x:v>
      </x:c>
      <x:c r="O71" s="41" t="str">
        <x:v>commun:53</x:v>
      </x:c>
      <x:c r="P71" s="41" t="str">
        <x:v>commun:262</x:v>
      </x:c>
      <x:c r="Q71" s="41" t="str">
        <x:v>commun:325</x:v>
      </x:c>
      <x:c r="R71" s="41" t="str">
        <x:v>commun:98</x:v>
      </x:c>
      <x:c r="S71" s="41" t="str"/>
      <x:c r="T71" s="41" t="str">
        <x:v>bonfiglioli:me3lb:j-0p0061-m-23</x:v>
      </x:c>
    </x:row>
    <x:row r="72">
      <x:c r="A72" s="41" t="str">
        <x:v>ME</x:v>
      </x:c>
      <x:c r="B72" s="41" t="str">
        <x:v>ME 3LB</x:v>
      </x:c>
      <x:c r="C72" s="41" t="str">
        <x:v>j-0p0095-m-23</x:v>
      </x:c>
      <x:c r="D72" s="41" t="str">
        <x:v>6</x:v>
      </x:c>
      <x:c r="E72" s="43" t="str">
        <x:v>Moteur intégré pour motoréducteur - interface constructeur non IEC</x:v>
      </x:c>
      <x:c r="F72" s="43" t="str">
        <x:v>Catalogue_BONFIGLIOLI_Moteur.pdf p.96</x:v>
      </x:c>
      <x:c r="G72" s="41" t="str">
        <x:v>commun:195</x:v>
      </x:c>
      <x:c r="H72" s="41" t="str">
        <x:v>commun:142</x:v>
      </x:c>
      <x:c r="I72" s="41" t="str">
        <x:v>commun:98</x:v>
      </x:c>
      <x:c r="J72" s="41" t="str">
        <x:v>commun:28</x:v>
      </x:c>
      <x:c r="K72" s="41" t="str">
        <x:v>commun:M10</x:v>
      </x:c>
      <x:c r="L72" s="41" t="str">
        <x:v>commun:60</x:v>
      </x:c>
      <x:c r="M72" s="41" t="str">
        <x:v>commun:31</x:v>
      </x:c>
      <x:c r="N72" s="41" t="str">
        <x:v>commun:8</x:v>
      </x:c>
      <x:c r="O72" s="41" t="str">
        <x:v>commun:53</x:v>
      </x:c>
      <x:c r="P72" s="41" t="str">
        <x:v>commun:262</x:v>
      </x:c>
      <x:c r="Q72" s="41" t="str">
        <x:v>commun:325</x:v>
      </x:c>
      <x:c r="R72" s="41" t="str">
        <x:v>commun:98</x:v>
      </x:c>
      <x:c r="S72" s="41" t="str"/>
      <x:c r="T72" s="41" t="str">
        <x:v>bonfiglioli:me3lb:j-0p0095-m-23</x:v>
      </x:c>
    </x:row>
    <x:row r="73">
      <x:c r="A73" s="41" t="str">
        <x:v>ME</x:v>
      </x:c>
      <x:c r="B73" s="41" t="str">
        <x:v>ME 3SA</x:v>
      </x:c>
      <x:c r="C73" s="41" t="str">
        <x:v>j-0p0024000000000000002-m-15p5</x:v>
      </x:c>
      <x:c r="D73" s="41" t="str">
        <x:v>2</x:v>
      </x:c>
      <x:c r="E73" s="43" t="str">
        <x:v>Moteur intégré pour motoréducteur - interface constructeur non IEC</x:v>
      </x:c>
      <x:c r="F73" s="43" t="str">
        <x:v>Catalogue_BONFIGLIOLI_Moteur.pdf p.96</x:v>
      </x:c>
      <x:c r="G73" s="41" t="str">
        <x:v>commun:195</x:v>
      </x:c>
      <x:c r="H73" s="41" t="str">
        <x:v>commun:142</x:v>
      </x:c>
      <x:c r="I73" s="41" t="str">
        <x:v>commun:98</x:v>
      </x:c>
      <x:c r="J73" s="41" t="str">
        <x:v>commun:28</x:v>
      </x:c>
      <x:c r="K73" s="41" t="str">
        <x:v>commun:M10</x:v>
      </x:c>
      <x:c r="L73" s="41" t="str">
        <x:v>commun:60</x:v>
      </x:c>
      <x:c r="M73" s="41" t="str">
        <x:v>commun:31</x:v>
      </x:c>
      <x:c r="N73" s="41" t="str">
        <x:v>commun:8</x:v>
      </x:c>
      <x:c r="O73" s="41" t="str">
        <x:v>commun:53</x:v>
      </x:c>
      <x:c r="P73" s="41" t="str">
        <x:v>commun:230</x:v>
      </x:c>
      <x:c r="Q73" s="41" t="str">
        <x:v>commun:293</x:v>
      </x:c>
      <x:c r="R73" s="41" t="str">
        <x:v>commun:98</x:v>
      </x:c>
      <x:c r="S73" s="41" t="str"/>
      <x:c r="T73" s="41" t="str">
        <x:v>bonfiglioli:me3sa:j-0p0024000000000000002-m-15p5</x:v>
      </x:c>
    </x:row>
    <x:row r="74">
      <x:c r="A74" s="41" t="str">
        <x:v>ME</x:v>
      </x:c>
      <x:c r="B74" s="41" t="str">
        <x:v>ME 3SA</x:v>
      </x:c>
      <x:c r="C74" s="41" t="str">
        <x:v>j-0p0033-m-17</x:v>
      </x:c>
      <x:c r="D74" s="41" t="str">
        <x:v>6</x:v>
      </x:c>
      <x:c r="E74" s="43" t="str">
        <x:v>Moteur intégré pour motoréducteur - interface constructeur non IEC</x:v>
      </x:c>
      <x:c r="F74" s="43" t="str">
        <x:v>Catalogue_BONFIGLIOLI_Moteur.pdf p.96</x:v>
      </x:c>
      <x:c r="G74" s="41" t="str">
        <x:v>commun:195</x:v>
      </x:c>
      <x:c r="H74" s="41" t="str">
        <x:v>commun:142</x:v>
      </x:c>
      <x:c r="I74" s="41" t="str">
        <x:v>commun:98</x:v>
      </x:c>
      <x:c r="J74" s="41" t="str">
        <x:v>commun:28</x:v>
      </x:c>
      <x:c r="K74" s="41" t="str">
        <x:v>commun:M10</x:v>
      </x:c>
      <x:c r="L74" s="41" t="str">
        <x:v>commun:60</x:v>
      </x:c>
      <x:c r="M74" s="41" t="str">
        <x:v>commun:31</x:v>
      </x:c>
      <x:c r="N74" s="41" t="str">
        <x:v>commun:8</x:v>
      </x:c>
      <x:c r="O74" s="41" t="str">
        <x:v>commun:53</x:v>
      </x:c>
      <x:c r="P74" s="41" t="str">
        <x:v>commun:230</x:v>
      </x:c>
      <x:c r="Q74" s="41" t="str">
        <x:v>commun:293</x:v>
      </x:c>
      <x:c r="R74" s="41" t="str">
        <x:v>commun:98</x:v>
      </x:c>
      <x:c r="S74" s="41" t="str"/>
      <x:c r="T74" s="41" t="str">
        <x:v>bonfiglioli:me3sa:j-0p0033-m-17</x:v>
      </x:c>
    </x:row>
    <x:row r="75">
      <x:c r="A75" s="41" t="str">
        <x:v>ME</x:v>
      </x:c>
      <x:c r="B75" s="41" t="str">
        <x:v>ME 3SA</x:v>
      </x:c>
      <x:c r="C75" s="41" t="str">
        <x:v>j-0p0034000000000000002-m-15p5</x:v>
      </x:c>
      <x:c r="D75" s="41" t="str">
        <x:v>4</x:v>
      </x:c>
      <x:c r="E75" s="43" t="str">
        <x:v>Moteur intégré pour motoréducteur - interface constructeur non IEC</x:v>
      </x:c>
      <x:c r="F75" s="43" t="str">
        <x:v>Catalogue_BONFIGLIOLI_Moteur.pdf p.96</x:v>
      </x:c>
      <x:c r="G75" s="41" t="str">
        <x:v>commun:195</x:v>
      </x:c>
      <x:c r="H75" s="41" t="str">
        <x:v>commun:142</x:v>
      </x:c>
      <x:c r="I75" s="41" t="str">
        <x:v>commun:98</x:v>
      </x:c>
      <x:c r="J75" s="41" t="str">
        <x:v>commun:28</x:v>
      </x:c>
      <x:c r="K75" s="41" t="str">
        <x:v>commun:M10</x:v>
      </x:c>
      <x:c r="L75" s="41" t="str">
        <x:v>commun:60</x:v>
      </x:c>
      <x:c r="M75" s="41" t="str">
        <x:v>commun:31</x:v>
      </x:c>
      <x:c r="N75" s="41" t="str">
        <x:v>commun:8</x:v>
      </x:c>
      <x:c r="O75" s="41" t="str">
        <x:v>commun:53</x:v>
      </x:c>
      <x:c r="P75" s="41" t="str">
        <x:v>commun:230</x:v>
      </x:c>
      <x:c r="Q75" s="41" t="str">
        <x:v>commun:293</x:v>
      </x:c>
      <x:c r="R75" s="41" t="str">
        <x:v>commun:98</x:v>
      </x:c>
      <x:c r="S75" s="41" t="str"/>
      <x:c r="T75" s="41" t="str">
        <x:v>bonfiglioli:me3sa:j-0p0034000000000000002-m-15p5</x:v>
      </x:c>
    </x:row>
    <x:row r="76">
      <x:c r="A76" s="41" t="str">
        <x:v>ME</x:v>
      </x:c>
      <x:c r="B76" s="41" t="str">
        <x:v>ME 3SB</x:v>
      </x:c>
      <x:c r="C76" s="41" t="str">
        <x:v>j-0p004-m-17</x:v>
      </x:c>
      <x:c r="D76" s="41" t="str">
        <x:v>4</x:v>
      </x:c>
      <x:c r="E76" s="43" t="str">
        <x:v>Moteur intégré pour motoréducteur - interface constructeur non IEC</x:v>
      </x:c>
      <x:c r="F76" s="43" t="str">
        <x:v>Catalogue_BONFIGLIOLI_Moteur.pdf p.96</x:v>
      </x:c>
      <x:c r="G76" s="41" t="str">
        <x:v>commun:195</x:v>
      </x:c>
      <x:c r="H76" s="41" t="str">
        <x:v>commun:142</x:v>
      </x:c>
      <x:c r="I76" s="41" t="str">
        <x:v>commun:98</x:v>
      </x:c>
      <x:c r="J76" s="41" t="str">
        <x:v>commun:28</x:v>
      </x:c>
      <x:c r="K76" s="41" t="str">
        <x:v>commun:M10</x:v>
      </x:c>
      <x:c r="L76" s="41" t="str">
        <x:v>commun:60</x:v>
      </x:c>
      <x:c r="M76" s="41" t="str">
        <x:v>commun:31</x:v>
      </x:c>
      <x:c r="N76" s="41" t="str">
        <x:v>commun:8</x:v>
      </x:c>
      <x:c r="O76" s="41" t="str">
        <x:v>commun:53</x:v>
      </x:c>
      <x:c r="P76" s="41" t="str">
        <x:v>commun:230</x:v>
      </x:c>
      <x:c r="Q76" s="41" t="str">
        <x:v>commun:293</x:v>
      </x:c>
      <x:c r="R76" s="41" t="str">
        <x:v>commun:98</x:v>
      </x:c>
      <x:c r="S76" s="41" t="str"/>
      <x:c r="T76" s="41" t="str">
        <x:v>bonfiglioli:me3sb:j-0p004-m-17</x:v>
      </x:c>
    </x:row>
    <x:row r="77">
      <x:c r="A77" s="41" t="str">
        <x:v>ME</x:v>
      </x:c>
      <x:c r="B77" s="41" t="str">
        <x:v>ME 4LA</x:v>
      </x:c>
      <x:c r="C77" s="41" t="str">
        <x:v>j-0p0178-m-51</x:v>
      </x:c>
      <x:c r="D77" s="41" t="str">
        <x:v>2</x:v>
      </x:c>
      <x:c r="E77" s="43" t="str">
        <x:v>Moteur intégré pour motoréducteur - interface constructeur non IEC</x:v>
      </x:c>
      <x:c r="F77" s="43" t="str">
        <x:v>Catalogue_BONFIGLIOLI_Moteur.pdf p.97</x:v>
      </x:c>
      <x:c r="G77" s="41" t="str">
        <x:v>commun:258</x:v>
      </x:c>
      <x:c r="H77" s="41" t="str">
        <x:v>commun:210</x:v>
      </x:c>
      <x:c r="I77" s="41" t="str">
        <x:v>commun:140</x:v>
      </x:c>
      <x:c r="J77" s="41" t="str">
        <x:v>commun:38</x:v>
      </x:c>
      <x:c r="K77" s="41" t="str">
        <x:v>commun:M12</x:v>
      </x:c>
      <x:c r="L77" s="41" t="str">
        <x:v>commun:80</x:v>
      </x:c>
      <x:c r="M77" s="41" t="str">
        <x:v>commun:10</x:v>
      </x:c>
      <x:c r="N77" s="41" t="str">
        <x:v>commun:41</x:v>
      </x:c>
      <x:c r="O77" s="41" t="str">
        <x:v>commun:7</x:v>
      </x:c>
      <x:c r="P77" s="41" t="str">
        <x:v>commun:470</x:v>
      </x:c>
      <x:c r="Q77" s="41" t="str">
        <x:v>commun:553</x:v>
      </x:c>
      <x:c r="R77" s="41" t="str">
        <x:v>commun:188</x:v>
      </x:c>
      <x:c r="S77" s="41" t="str"/>
      <x:c r="T77" s="41" t="str">
        <x:v>bonfiglioli:me4la:j-0p0178-m-51</x:v>
      </x:c>
    </x:row>
    <x:row r="78">
      <x:c r="A78" s="41" t="str">
        <x:v>ME</x:v>
      </x:c>
      <x:c r="B78" s="41" t="str">
        <x:v>ME 4LA</x:v>
      </x:c>
      <x:c r="C78" s="41" t="str">
        <x:v>j-0p031900000000000005-m-57</x:v>
      </x:c>
      <x:c r="D78" s="41" t="str">
        <x:v>4</x:v>
      </x:c>
      <x:c r="E78" s="43" t="str">
        <x:v>Moteur intégré pour motoréducteur - interface constructeur non IEC</x:v>
      </x:c>
      <x:c r="F78" s="43" t="str">
        <x:v>Catalogue_BONFIGLIOLI_Moteur.pdf p.97</x:v>
      </x:c>
      <x:c r="G78" s="41" t="str">
        <x:v>commun:258</x:v>
      </x:c>
      <x:c r="H78" s="41" t="str">
        <x:v>commun:210</x:v>
      </x:c>
      <x:c r="I78" s="41" t="str">
        <x:v>commun:140</x:v>
      </x:c>
      <x:c r="J78" s="41" t="str">
        <x:v>commun:38</x:v>
      </x:c>
      <x:c r="K78" s="41" t="str">
        <x:v>commun:M12</x:v>
      </x:c>
      <x:c r="L78" s="41" t="str">
        <x:v>commun:80</x:v>
      </x:c>
      <x:c r="M78" s="41" t="str">
        <x:v>commun:10</x:v>
      </x:c>
      <x:c r="N78" s="41" t="str">
        <x:v>commun:41</x:v>
      </x:c>
      <x:c r="O78" s="41" t="str">
        <x:v>commun:7</x:v>
      </x:c>
      <x:c r="P78" s="41" t="str">
        <x:v>commun:470</x:v>
      </x:c>
      <x:c r="Q78" s="41" t="str">
        <x:v>commun:553</x:v>
      </x:c>
      <x:c r="R78" s="41" t="str">
        <x:v>commun:188</x:v>
      </x:c>
      <x:c r="S78" s="41" t="str"/>
      <x:c r="T78" s="41" t="str">
        <x:v>bonfiglioli:me4la:j-0p031900000000000005-m-57</x:v>
      </x:c>
    </x:row>
    <x:row r="79">
      <x:c r="A79" s="41" t="str">
        <x:v>ME</x:v>
      </x:c>
      <x:c r="B79" s="41" t="str">
        <x:v>ME 4LA</x:v>
      </x:c>
      <x:c r="C79" s="41" t="str">
        <x:v>j-0p0383-m-54</x:v>
      </x:c>
      <x:c r="D79" s="41" t="str">
        <x:v>6</x:v>
      </x:c>
      <x:c r="E79" s="43" t="str">
        <x:v>Moteur intégré pour motoréducteur - interface constructeur non IEC</x:v>
      </x:c>
      <x:c r="F79" s="43" t="str">
        <x:v>Catalogue_BONFIGLIOLI_Moteur.pdf p.97</x:v>
      </x:c>
      <x:c r="G79" s="41" t="str">
        <x:v>commun:258</x:v>
      </x:c>
      <x:c r="H79" s="41" t="str">
        <x:v>commun:210</x:v>
      </x:c>
      <x:c r="I79" s="41" t="str">
        <x:v>commun:140</x:v>
      </x:c>
      <x:c r="J79" s="41" t="str">
        <x:v>commun:38</x:v>
      </x:c>
      <x:c r="K79" s="41" t="str">
        <x:v>commun:M12</x:v>
      </x:c>
      <x:c r="L79" s="41" t="str">
        <x:v>commun:80</x:v>
      </x:c>
      <x:c r="M79" s="41" t="str">
        <x:v>commun:10</x:v>
      </x:c>
      <x:c r="N79" s="41" t="str">
        <x:v>commun:41</x:v>
      </x:c>
      <x:c r="O79" s="41" t="str">
        <x:v>commun:7</x:v>
      </x:c>
      <x:c r="P79" s="41" t="str">
        <x:v>commun:470</x:v>
      </x:c>
      <x:c r="Q79" s="41" t="str">
        <x:v>commun:553</x:v>
      </x:c>
      <x:c r="R79" s="41" t="str">
        <x:v>commun:188</x:v>
      </x:c>
      <x:c r="S79" s="41" t="str"/>
      <x:c r="T79" s="41" t="str">
        <x:v>bonfiglioli:me4la:j-0p0383-m-54</x:v>
      </x:c>
    </x:row>
    <x:row r="80">
      <x:c r="A80" s="41" t="str">
        <x:v>ME</x:v>
      </x:c>
      <x:c r="B80" s="41" t="str">
        <x:v>ME 4LB</x:v>
      </x:c>
      <x:c r="C80" s="41" t="str">
        <x:v>j-0p021-m-60</x:v>
      </x:c>
      <x:c r="D80" s="41" t="str">
        <x:v>2</x:v>
      </x:c>
      <x:c r="E80" s="43" t="str">
        <x:v>Moteur intégré pour motoréducteur - interface constructeur non IEC</x:v>
      </x:c>
      <x:c r="F80" s="43" t="str">
        <x:v>Catalogue_BONFIGLIOLI_Moteur.pdf p.96</x:v>
      </x:c>
      <x:c r="G80" s="41" t="str">
        <x:v>commun:258</x:v>
      </x:c>
      <x:c r="H80" s="41" t="str">
        <x:v>commun:193</x:v>
      </x:c>
      <x:c r="I80" s="41" t="str">
        <x:v>commun:118</x:v>
      </x:c>
      <x:c r="J80" s="41" t="str">
        <x:v>commun:38</x:v>
      </x:c>
      <x:c r="K80" s="41" t="str">
        <x:v>commun:M12</x:v>
      </x:c>
      <x:c r="L80" s="41" t="str">
        <x:v>commun:80</x:v>
      </x:c>
      <x:c r="M80" s="41" t="str">
        <x:v>commun:41</x:v>
      </x:c>
      <x:c r="N80" s="41" t="str">
        <x:v>commun:10</x:v>
      </x:c>
      <x:c r="O80" s="41" t="str">
        <x:v>commun:64</x:v>
      </x:c>
      <x:c r="P80" s="41" t="str">
        <x:v>commun:396</x:v>
      </x:c>
      <x:c r="Q80" s="41" t="str">
        <x:v>commun:479</x:v>
      </x:c>
      <x:c r="R80" s="41" t="str">
        <x:v>commun:118</x:v>
      </x:c>
      <x:c r="S80" s="41" t="str"/>
      <x:c r="T80" s="41" t="str">
        <x:v>bonfiglioli:me4lb:j-0p021-m-60</x:v>
      </x:c>
    </x:row>
    <x:row r="81">
      <x:c r="A81" s="41" t="str">
        <x:v>ME</x:v>
      </x:c>
      <x:c r="B81" s="41" t="str">
        <x:v>ME 4LB</x:v>
      </x:c>
      <x:c r="C81" s="41" t="str">
        <x:v>j-0p036000000000000004-m-65</x:v>
      </x:c>
      <x:c r="D81" s="41" t="str">
        <x:v>4</x:v>
      </x:c>
      <x:c r="E81" s="43" t="str">
        <x:v>Moteur intégré pour motoréducteur - interface constructeur non IEC</x:v>
      </x:c>
      <x:c r="F81" s="43" t="str">
        <x:v>Catalogue_BONFIGLIOLI_Moteur.pdf p.96</x:v>
      </x:c>
      <x:c r="G81" s="41" t="str">
        <x:v>commun:258</x:v>
      </x:c>
      <x:c r="H81" s="41" t="str">
        <x:v>commun:193</x:v>
      </x:c>
      <x:c r="I81" s="41" t="str">
        <x:v>commun:118</x:v>
      </x:c>
      <x:c r="J81" s="41" t="str">
        <x:v>commun:38</x:v>
      </x:c>
      <x:c r="K81" s="41" t="str">
        <x:v>commun:M12</x:v>
      </x:c>
      <x:c r="L81" s="41" t="str">
        <x:v>commun:80</x:v>
      </x:c>
      <x:c r="M81" s="41" t="str">
        <x:v>commun:41</x:v>
      </x:c>
      <x:c r="N81" s="41" t="str">
        <x:v>commun:10</x:v>
      </x:c>
      <x:c r="O81" s="41" t="str">
        <x:v>commun:64</x:v>
      </x:c>
      <x:c r="P81" s="41" t="str">
        <x:v>commun:396</x:v>
      </x:c>
      <x:c r="Q81" s="41" t="str">
        <x:v>commun:479</x:v>
      </x:c>
      <x:c r="R81" s="41" t="str">
        <x:v>commun:118</x:v>
      </x:c>
      <x:c r="S81" s="41" t="str"/>
      <x:c r="T81" s="41" t="str">
        <x:v>bonfiglioli:me4lb:j-0p036000000000000004-m-65</x:v>
      </x:c>
    </x:row>
    <x:row r="82">
      <x:c r="A82" s="41" t="str">
        <x:v>ME</x:v>
      </x:c>
      <x:c r="B82" s="41" t="str">
        <x:v>ME 4SA</x:v>
      </x:c>
      <x:c r="C82" s="41" t="str">
        <x:v>j-0p010100000000000001-m-33</x:v>
      </x:c>
      <x:c r="D82" s="41" t="str">
        <x:v>2</x:v>
      </x:c>
      <x:c r="E82" s="43" t="str">
        <x:v>Moteur intégré pour motoréducteur - interface constructeur non IEC</x:v>
      </x:c>
      <x:c r="F82" s="43" t="str">
        <x:v>Catalogue_BONFIGLIOLI_Moteur.pdf p.96</x:v>
      </x:c>
      <x:c r="G82" s="41" t="str">
        <x:v>commun:258</x:v>
      </x:c>
      <x:c r="H82" s="41" t="str">
        <x:v>commun:193</x:v>
      </x:c>
      <x:c r="I82" s="41" t="str">
        <x:v>commun:118</x:v>
      </x:c>
      <x:c r="J82" s="41" t="str">
        <x:v>commun:38</x:v>
      </x:c>
      <x:c r="K82" s="41" t="str">
        <x:v>commun:M12</x:v>
      </x:c>
      <x:c r="L82" s="41" t="str">
        <x:v>commun:80</x:v>
      </x:c>
      <x:c r="M82" s="41" t="str">
        <x:v>commun:41</x:v>
      </x:c>
      <x:c r="N82" s="41" t="str">
        <x:v>commun:10</x:v>
      </x:c>
      <x:c r="O82" s="41" t="str">
        <x:v>commun:64</x:v>
      </x:c>
      <x:c r="P82" s="41" t="str">
        <x:v>commun:361</x:v>
      </x:c>
      <x:c r="Q82" s="41" t="str">
        <x:v>commun:444</x:v>
      </x:c>
      <x:c r="R82" s="41" t="str">
        <x:v>commun:118</x:v>
      </x:c>
      <x:c r="S82" s="41" t="str"/>
      <x:c r="T82" s="41" t="str">
        <x:v>bonfiglioli:me4sa:j-0p010100000000000001-m-33</x:v>
      </x:c>
    </x:row>
    <x:row r="83">
      <x:c r="A83" s="41" t="str">
        <x:v>ME</x:v>
      </x:c>
      <x:c r="B83" s="41" t="str">
        <x:v>ME 4SA</x:v>
      </x:c>
      <x:c r="C83" s="41" t="str">
        <x:v>j-0p0213-m-42</x:v>
      </x:c>
      <x:c r="D83" s="41" t="str">
        <x:v>4</x:v>
      </x:c>
      <x:c r="E83" s="43" t="str">
        <x:v>Moteur intégré pour motoréducteur - interface constructeur non IEC</x:v>
      </x:c>
      <x:c r="F83" s="43" t="str">
        <x:v>Catalogue_BONFIGLIOLI_Moteur.pdf p.96</x:v>
      </x:c>
      <x:c r="G83" s="41" t="str">
        <x:v>commun:258</x:v>
      </x:c>
      <x:c r="H83" s="41" t="str">
        <x:v>commun:193</x:v>
      </x:c>
      <x:c r="I83" s="41" t="str">
        <x:v>commun:118</x:v>
      </x:c>
      <x:c r="J83" s="41" t="str">
        <x:v>commun:38</x:v>
      </x:c>
      <x:c r="K83" s="41" t="str">
        <x:v>commun:M12</x:v>
      </x:c>
      <x:c r="L83" s="41" t="str">
        <x:v>commun:80</x:v>
      </x:c>
      <x:c r="M83" s="41" t="str">
        <x:v>commun:41</x:v>
      </x:c>
      <x:c r="N83" s="41" t="str">
        <x:v>commun:10</x:v>
      </x:c>
      <x:c r="O83" s="41" t="str">
        <x:v>commun:64</x:v>
      </x:c>
      <x:c r="P83" s="41" t="str">
        <x:v>commun:361</x:v>
      </x:c>
      <x:c r="Q83" s="41" t="str">
        <x:v>commun:444</x:v>
      </x:c>
      <x:c r="R83" s="41" t="str">
        <x:v>commun:118</x:v>
      </x:c>
      <x:c r="S83" s="41" t="str"/>
      <x:c r="T83" s="41" t="str">
        <x:v>bonfiglioli:me4sa:j-0p0213-m-42</x:v>
      </x:c>
    </x:row>
    <x:row r="84">
      <x:c r="A84" s="41" t="str">
        <x:v>ME</x:v>
      </x:c>
      <x:c r="B84" s="41" t="str">
        <x:v>ME 4SA</x:v>
      </x:c>
      <x:c r="C84" s="41" t="str">
        <x:v>j-0p0216-m-34</x:v>
      </x:c>
      <x:c r="D84" s="41" t="str">
        <x:v>6</x:v>
      </x:c>
      <x:c r="E84" s="43" t="str">
        <x:v>Moteur intégré pour motoréducteur - interface constructeur non IEC</x:v>
      </x:c>
      <x:c r="F84" s="43" t="str">
        <x:v>Catalogue_BONFIGLIOLI_Moteur.pdf p.96</x:v>
      </x:c>
      <x:c r="G84" s="41" t="str">
        <x:v>commun:258</x:v>
      </x:c>
      <x:c r="H84" s="41" t="str">
        <x:v>commun:193</x:v>
      </x:c>
      <x:c r="I84" s="41" t="str">
        <x:v>commun:118</x:v>
      </x:c>
      <x:c r="J84" s="41" t="str">
        <x:v>commun:38</x:v>
      </x:c>
      <x:c r="K84" s="41" t="str">
        <x:v>commun:M12</x:v>
      </x:c>
      <x:c r="L84" s="41" t="str">
        <x:v>commun:80</x:v>
      </x:c>
      <x:c r="M84" s="41" t="str">
        <x:v>commun:41</x:v>
      </x:c>
      <x:c r="N84" s="41" t="str">
        <x:v>commun:10</x:v>
      </x:c>
      <x:c r="O84" s="41" t="str">
        <x:v>commun:64</x:v>
      </x:c>
      <x:c r="P84" s="41" t="str">
        <x:v>commun:361</x:v>
      </x:c>
      <x:c r="Q84" s="41" t="str">
        <x:v>commun:444</x:v>
      </x:c>
      <x:c r="R84" s="41" t="str">
        <x:v>commun:118</x:v>
      </x:c>
      <x:c r="S84" s="41" t="str"/>
      <x:c r="T84" s="41" t="str">
        <x:v>bonfiglioli:me4sa:j-0p0216-m-34</x:v>
      </x:c>
    </x:row>
    <x:row r="85">
      <x:c r="A85" s="41" t="str">
        <x:v>ME</x:v>
      </x:c>
      <x:c r="B85" s="41" t="str">
        <x:v>ME 4SB</x:v>
      </x:c>
      <x:c r="C85" s="41" t="str">
        <x:v>j-0p0145-m-40</x:v>
      </x:c>
      <x:c r="D85" s="41" t="str">
        <x:v>2</x:v>
      </x:c>
      <x:c r="E85" s="43" t="str">
        <x:v>Moteur intégré pour motoréducteur - interface constructeur non IEC</x:v>
      </x:c>
      <x:c r="F85" s="43" t="str">
        <x:v>Catalogue_BONFIGLIOLI_Moteur.pdf p.96</x:v>
      </x:c>
      <x:c r="G85" s="41" t="str">
        <x:v>commun:258</x:v>
      </x:c>
      <x:c r="H85" s="41" t="str">
        <x:v>commun:193</x:v>
      </x:c>
      <x:c r="I85" s="41" t="str">
        <x:v>commun:118</x:v>
      </x:c>
      <x:c r="J85" s="41" t="str">
        <x:v>commun:38</x:v>
      </x:c>
      <x:c r="K85" s="41" t="str">
        <x:v>commun:M12</x:v>
      </x:c>
      <x:c r="L85" s="41" t="str">
        <x:v>commun:80</x:v>
      </x:c>
      <x:c r="M85" s="41" t="str">
        <x:v>commun:41</x:v>
      </x:c>
      <x:c r="N85" s="41" t="str">
        <x:v>commun:10</x:v>
      </x:c>
      <x:c r="O85" s="41" t="str">
        <x:v>commun:64</x:v>
      </x:c>
      <x:c r="P85" s="41" t="str">
        <x:v>commun:361</x:v>
      </x:c>
      <x:c r="Q85" s="41" t="str">
        <x:v>commun:444</x:v>
      </x:c>
      <x:c r="R85" s="41" t="str">
        <x:v>commun:118</x:v>
      </x:c>
      <x:c r="S85" s="41" t="str"/>
      <x:c r="T85" s="41" t="str">
        <x:v>bonfiglioli:me4sb:j-0p0145-m-40</x:v>
      </x:c>
    </x:row>
    <x:row r="86">
      <x:c r="A86" s="41" t="str">
        <x:v>ME</x:v>
      </x:c>
      <x:c r="B86" s="41" t="str">
        <x:v>ME 4SB</x:v>
      </x:c>
      <x:c r="C86" s="41" t="str">
        <x:v>j-0p027-m-51</x:v>
      </x:c>
      <x:c r="D86" s="41" t="str">
        <x:v>4</x:v>
      </x:c>
      <x:c r="E86" s="43" t="str">
        <x:v>Moteur intégré pour motoréducteur - interface constructeur non IEC</x:v>
      </x:c>
      <x:c r="F86" s="43" t="str">
        <x:v>Catalogue_BONFIGLIOLI_Moteur.pdf p.96</x:v>
      </x:c>
      <x:c r="G86" s="41" t="str">
        <x:v>commun:258</x:v>
      </x:c>
      <x:c r="H86" s="41" t="str">
        <x:v>commun:193</x:v>
      </x:c>
      <x:c r="I86" s="41" t="str">
        <x:v>commun:118</x:v>
      </x:c>
      <x:c r="J86" s="41" t="str">
        <x:v>commun:38</x:v>
      </x:c>
      <x:c r="K86" s="41" t="str">
        <x:v>commun:M12</x:v>
      </x:c>
      <x:c r="L86" s="41" t="str">
        <x:v>commun:80</x:v>
      </x:c>
      <x:c r="M86" s="41" t="str">
        <x:v>commun:41</x:v>
      </x:c>
      <x:c r="N86" s="41" t="str">
        <x:v>commun:10</x:v>
      </x:c>
      <x:c r="O86" s="41" t="str">
        <x:v>commun:64</x:v>
      </x:c>
      <x:c r="P86" s="41" t="str">
        <x:v>commun:361</x:v>
      </x:c>
      <x:c r="Q86" s="41" t="str">
        <x:v>commun:444</x:v>
      </x:c>
      <x:c r="R86" s="41" t="str">
        <x:v>commun:118</x:v>
      </x:c>
      <x:c r="S86" s="41" t="str"/>
      <x:c r="T86" s="41" t="str">
        <x:v>bonfiglioli:me4sb:j-0p027-m-51</x:v>
      </x:c>
    </x:row>
    <x:row r="87">
      <x:c r="A87" s="41" t="str">
        <x:v>ME</x:v>
      </x:c>
      <x:c r="B87" s="41" t="str">
        <x:v>ME 5LA</x:v>
      </x:c>
      <x:c r="C87" s="41" t="str">
        <x:v>j-0p049-m-95</x:v>
      </x:c>
      <x:c r="D87" s="41" t="str">
        <x:v>2</x:v>
      </x:c>
      <x:c r="E87" s="43" t="str">
        <x:v>Moteur intégré pour motoréducteur - interface constructeur non IEC</x:v>
      </x:c>
      <x:c r="F87" s="43" t="str">
        <x:v>Catalogue_BONFIGLIOLI_Moteur.pdf p.96</x:v>
      </x:c>
      <x:c r="G87" s="41" t="str">
        <x:v>commun:310</x:v>
      </x:c>
      <x:c r="H87" s="41" t="str">
        <x:v>commun:245</x:v>
      </x:c>
      <x:c r="I87" s="41" t="str">
        <x:v>commun:187</x:v>
      </x:c>
      <x:c r="J87" s="41" t="str">
        <x:v>commun:38</x:v>
      </x:c>
      <x:c r="K87" s="41" t="str">
        <x:v>commun:M12</x:v>
      </x:c>
      <x:c r="L87" s="41" t="str">
        <x:v>commun:80</x:v>
      </x:c>
      <x:c r="M87" s="41" t="str">
        <x:v>commun:41</x:v>
      </x:c>
      <x:c r="N87" s="41" t="str">
        <x:v>commun:10</x:v>
      </x:c>
      <x:c r="O87" s="41" t="str">
        <x:v>commun:77</x:v>
      </x:c>
      <x:c r="P87" s="41" t="str">
        <x:v>commun:462</x:v>
      </x:c>
      <x:c r="Q87" s="41" t="str">
        <x:v>commun:546</x:v>
      </x:c>
      <x:c r="R87" s="41" t="str">
        <x:v>commun:187</x:v>
      </x:c>
      <x:c r="S87" s="41" t="str"/>
      <x:c r="T87" s="41" t="str">
        <x:v>bonfiglioli:me5la:j-0p049-m-95</x:v>
      </x:c>
    </x:row>
    <x:row r="88">
      <x:c r="A88" s="41" t="str">
        <x:v>ME</x:v>
      </x:c>
      <x:c r="B88" s="41" t="str">
        <x:v>ME 5LA</x:v>
      </x:c>
      <x:c r="C88" s="41" t="str">
        <x:v>j-0p079-m-101</x:v>
      </x:c>
      <x:c r="D88" s="41" t="str">
        <x:v>4</x:v>
      </x:c>
      <x:c r="E88" s="43" t="str">
        <x:v>Moteur intégré pour motoréducteur - interface constructeur non IEC</x:v>
      </x:c>
      <x:c r="F88" s="43" t="str">
        <x:v>Catalogue_BONFIGLIOLI_Moteur.pdf p.96</x:v>
      </x:c>
      <x:c r="G88" s="41" t="str">
        <x:v>commun:310</x:v>
      </x:c>
      <x:c r="H88" s="41" t="str">
        <x:v>commun:245</x:v>
      </x:c>
      <x:c r="I88" s="41" t="str">
        <x:v>commun:187</x:v>
      </x:c>
      <x:c r="J88" s="41" t="str">
        <x:v>commun:38</x:v>
      </x:c>
      <x:c r="K88" s="41" t="str">
        <x:v>commun:M12</x:v>
      </x:c>
      <x:c r="L88" s="41" t="str">
        <x:v>commun:80</x:v>
      </x:c>
      <x:c r="M88" s="41" t="str">
        <x:v>commun:41</x:v>
      </x:c>
      <x:c r="N88" s="41" t="str">
        <x:v>commun:10</x:v>
      </x:c>
      <x:c r="O88" s="41" t="str">
        <x:v>commun:77</x:v>
      </x:c>
      <x:c r="P88" s="41" t="str">
        <x:v>commun:462</x:v>
      </x:c>
      <x:c r="Q88" s="41" t="str">
        <x:v>commun:546</x:v>
      </x:c>
      <x:c r="R88" s="41" t="str">
        <x:v>commun:187</x:v>
      </x:c>
      <x:c r="S88" s="41" t="str"/>
      <x:c r="T88" s="41" t="str">
        <x:v>bonfiglioli:me5la:j-0p079-m-101</x:v>
      </x:c>
    </x:row>
    <x:row r="89">
      <x:c r="A89" s="41" t="str">
        <x:v>ME</x:v>
      </x:c>
      <x:c r="B89" s="41" t="str">
        <x:v>ME 5SA</x:v>
      </x:c>
      <x:c r="C89" s="41" t="str">
        <x:v>j-0p034-m-70</x:v>
      </x:c>
      <x:c r="D89" s="41" t="str">
        <x:v>2</x:v>
      </x:c>
      <x:c r="E89" s="43" t="str">
        <x:v>Moteur intégré pour motoréducteur - interface constructeur non IEC</x:v>
      </x:c>
      <x:c r="F89" s="43" t="str">
        <x:v>Catalogue_BONFIGLIOLI_Moteur.pdf p.96</x:v>
      </x:c>
      <x:c r="G89" s="41" t="str">
        <x:v>commun:310</x:v>
      </x:c>
      <x:c r="H89" s="41" t="str">
        <x:v>commun:245</x:v>
      </x:c>
      <x:c r="I89" s="41" t="str">
        <x:v>commun:187</x:v>
      </x:c>
      <x:c r="J89" s="41" t="str">
        <x:v>commun:38</x:v>
      </x:c>
      <x:c r="K89" s="41" t="str">
        <x:v>commun:M12</x:v>
      </x:c>
      <x:c r="L89" s="41" t="str">
        <x:v>commun:80</x:v>
      </x:c>
      <x:c r="M89" s="41" t="str">
        <x:v>commun:41</x:v>
      </x:c>
      <x:c r="N89" s="41" t="str">
        <x:v>commun:10</x:v>
      </x:c>
      <x:c r="O89" s="41" t="str">
        <x:v>commun:77</x:v>
      </x:c>
      <x:c r="P89" s="41" t="str">
        <x:v>commun:418</x:v>
      </x:c>
      <x:c r="Q89" s="41" t="str">
        <x:v>commun:502</x:v>
      </x:c>
      <x:c r="R89" s="41" t="str">
        <x:v>commun:187</x:v>
      </x:c>
      <x:c r="S89" s="41" t="str"/>
      <x:c r="T89" s="41" t="str">
        <x:v>bonfiglioli:me5sa:j-0p034-m-70</x:v>
      </x:c>
    </x:row>
    <x:row r="90">
      <x:c r="A90" s="41" t="str">
        <x:v>ME</x:v>
      </x:c>
      <x:c r="B90" s="41" t="str">
        <x:v>ME 5SA</x:v>
      </x:c>
      <x:c r="C90" s="41" t="str">
        <x:v>j-0p065-m-85</x:v>
      </x:c>
      <x:c r="D90" s="41" t="str">
        <x:v>4</x:v>
      </x:c>
      <x:c r="E90" s="43" t="str">
        <x:v>Moteur intégré pour motoréducteur - interface constructeur non IEC</x:v>
      </x:c>
      <x:c r="F90" s="43" t="str">
        <x:v>Catalogue_BONFIGLIOLI_Moteur.pdf p.96</x:v>
      </x:c>
      <x:c r="G90" s="41" t="str">
        <x:v>commun:310</x:v>
      </x:c>
      <x:c r="H90" s="41" t="str">
        <x:v>commun:245</x:v>
      </x:c>
      <x:c r="I90" s="41" t="str">
        <x:v>commun:187</x:v>
      </x:c>
      <x:c r="J90" s="41" t="str">
        <x:v>commun:38</x:v>
      </x:c>
      <x:c r="K90" s="41" t="str">
        <x:v>commun:M12</x:v>
      </x:c>
      <x:c r="L90" s="41" t="str">
        <x:v>commun:80</x:v>
      </x:c>
      <x:c r="M90" s="41" t="str">
        <x:v>commun:41</x:v>
      </x:c>
      <x:c r="N90" s="41" t="str">
        <x:v>commun:10</x:v>
      </x:c>
      <x:c r="O90" s="41" t="str">
        <x:v>commun:77</x:v>
      </x:c>
      <x:c r="P90" s="41" t="str">
        <x:v>commun:418</x:v>
      </x:c>
      <x:c r="Q90" s="41" t="str">
        <x:v>commun:502</x:v>
      </x:c>
      <x:c r="R90" s="41" t="str">
        <x:v>commun:187</x:v>
      </x:c>
      <x:c r="S90" s="41" t="str"/>
      <x:c r="T90" s="41" t="str">
        <x:v>bonfiglioli:me5sa:j-0p065-m-85</x:v>
      </x:c>
    </x:row>
    <x:row r="91">
      <x:c r="A91" s="41" t="str">
        <x:v>ME</x:v>
      </x:c>
      <x:c r="B91" s="41" t="str">
        <x:v>ME 5SB</x:v>
      </x:c>
      <x:c r="C91" s="41" t="str">
        <x:v>j-0p042-m-83</x:v>
      </x:c>
      <x:c r="D91" s="41" t="str">
        <x:v>2</x:v>
      </x:c>
      <x:c r="E91" s="43" t="str">
        <x:v>Moteur intégré pour motoréducteur - interface constructeur non IEC</x:v>
      </x:c>
      <x:c r="F91" s="43" t="str">
        <x:v>Catalogue_BONFIGLIOLI_Moteur.pdf p.96</x:v>
      </x:c>
      <x:c r="G91" s="41" t="str">
        <x:v>commun:310</x:v>
      </x:c>
      <x:c r="H91" s="41" t="str">
        <x:v>commun:245</x:v>
      </x:c>
      <x:c r="I91" s="41" t="str">
        <x:v>commun:187</x:v>
      </x:c>
      <x:c r="J91" s="41" t="str">
        <x:v>commun:38</x:v>
      </x:c>
      <x:c r="K91" s="41" t="str">
        <x:v>commun:M12</x:v>
      </x:c>
      <x:c r="L91" s="41" t="str">
        <x:v>commun:80</x:v>
      </x:c>
      <x:c r="M91" s="41" t="str">
        <x:v>commun:41</x:v>
      </x:c>
      <x:c r="N91" s="41" t="str">
        <x:v>commun:10</x:v>
      </x:c>
      <x:c r="O91" s="41" t="str">
        <x:v>commun:77</x:v>
      </x:c>
      <x:c r="P91" s="41" t="str">
        <x:v>commun:418</x:v>
      </x:c>
      <x:c r="Q91" s="41" t="str">
        <x:v>commun:502</x:v>
      </x:c>
      <x:c r="R91" s="41" t="str">
        <x:v>commun:187</x:v>
      </x:c>
      <x:c r="S91" s="41" t="str"/>
      <x:c r="T91" s="41" t="str">
        <x:v>bonfiglioli:me5sb:j-0p042-m-83</x:v>
      </x:c>
    </x:row>
    <x:row r="92">
      <x:c r="A92" s="41" t="str">
        <x:v>MX</x:v>
      </x:c>
      <x:c r="B92" s="41" t="str">
        <x:v>MX 05A</x:v>
      </x:c>
      <x:c r="C92" s="41" t="str">
        <x:v>j-0p00018-m-3p2</x:v>
      </x:c>
      <x:c r="D92" s="41" t="str">
        <x:v>4</x:v>
      </x:c>
      <x:c r="E92" s="43" t="str">
        <x:v>Moteur intégré pour motoréducteur - interface constructeur non IEC</x:v>
      </x:c>
      <x:c r="F92" s="43" t="str">
        <x:v>Catalogue_BONFIGLIOLI_Moteur.pdf p.78</x:v>
      </x:c>
      <x:c r="G92" s="41" t="str">
        <x:v>commun:121</x:v>
      </x:c>
      <x:c r="H92" s="41" t="str">
        <x:v>commun:95</x:v>
      </x:c>
      <x:c r="I92" s="41" t="str">
        <x:v>commun:74</x:v>
      </x:c>
      <x:c r="J92" s="41" t="str">
        <x:v>commun:9</x:v>
      </x:c>
      <x:c r="K92" s="41" t="str">
        <x:v>commun:M3</x:v>
      </x:c>
      <x:c r="L92" s="41" t="str">
        <x:v>commun:20</x:v>
      </x:c>
      <x:c r="M92" s="41" t="str">
        <x:v>commun:3</x:v>
      </x:c>
      <x:c r="N92" s="41" t="str">
        <x:v>commun:10</x:v>
      </x:c>
      <x:c r="O92" s="41" t="str">
        <x:v>commun:48</x:v>
      </x:c>
      <x:c r="P92" s="41" t="str">
        <x:v>commun:165</x:v>
      </x:c>
      <x:c r="Q92" s="41" t="str">
        <x:v>commun:191</x:v>
      </x:c>
      <x:c r="R92" s="41" t="str">
        <x:v>commun:80</x:v>
      </x:c>
      <x:c r="S92" s="41" t="str"/>
      <x:c r="T92" s="41" t="str">
        <x:v>bonfiglioli:mx05a:j-0p00018-m-3p2</x:v>
      </x:c>
    </x:row>
    <x:row r="93">
      <x:c r="A93" s="41" t="str">
        <x:v>MX</x:v>
      </x:c>
      <x:c r="B93" s="41" t="str">
        <x:v>MX 05A</x:v>
      </x:c>
      <x:c r="C93" s="41" t="str">
        <x:v>j-0p000182-m-2p9</x:v>
      </x:c>
      <x:c r="D93" s="41" t="str">
        <x:v>4</x:v>
      </x:c>
      <x:c r="E93" s="43" t="str">
        <x:v>Moteur intégré pour motoréducteur - interface constructeur non IEC</x:v>
      </x:c>
      <x:c r="F93" s="43" t="str">
        <x:v>Catalogue_BONFIGLIOLI_Moteur.pdf p.78</x:v>
      </x:c>
      <x:c r="G93" s="41" t="str">
        <x:v>commun:121</x:v>
      </x:c>
      <x:c r="H93" s="41" t="str">
        <x:v>commun:95</x:v>
      </x:c>
      <x:c r="I93" s="41" t="str">
        <x:v>commun:74</x:v>
      </x:c>
      <x:c r="J93" s="41" t="str">
        <x:v>commun:9</x:v>
      </x:c>
      <x:c r="K93" s="41" t="str">
        <x:v>commun:M3</x:v>
      </x:c>
      <x:c r="L93" s="41" t="str">
        <x:v>commun:20</x:v>
      </x:c>
      <x:c r="M93" s="41" t="str">
        <x:v>commun:3</x:v>
      </x:c>
      <x:c r="N93" s="41" t="str">
        <x:v>commun:10</x:v>
      </x:c>
      <x:c r="O93" s="41" t="str">
        <x:v>commun:48</x:v>
      </x:c>
      <x:c r="P93" s="41" t="str">
        <x:v>commun:165</x:v>
      </x:c>
      <x:c r="Q93" s="41" t="str">
        <x:v>commun:191</x:v>
      </x:c>
      <x:c r="R93" s="41" t="str">
        <x:v>commun:80</x:v>
      </x:c>
      <x:c r="S93" s="41" t="str"/>
      <x:c r="T93" s="41" t="str">
        <x:v>bonfiglioli:mx05a:j-0p000182-m-2p9</x:v>
      </x:c>
    </x:row>
    <x:row r="94">
      <x:c r="A94" s="41" t="str">
        <x:v>MX</x:v>
      </x:c>
      <x:c r="B94" s="41" t="str">
        <x:v>MX 05B</x:v>
      </x:c>
      <x:c r="C94" s="41" t="str">
        <x:v>j-0p00029-m-4p8</x:v>
      </x:c>
      <x:c r="D94" s="41" t="str">
        <x:v>4</x:v>
      </x:c>
      <x:c r="E94" s="43" t="str">
        <x:v>Moteur intégré pour motoréducteur - interface constructeur non IEC</x:v>
      </x:c>
      <x:c r="F94" s="43" t="str">
        <x:v>Catalogue_BONFIGLIOLI_Moteur.pdf p.78</x:v>
      </x:c>
      <x:c r="G94" s="41" t="str">
        <x:v>commun:121</x:v>
      </x:c>
      <x:c r="H94" s="41" t="str">
        <x:v>commun:95</x:v>
      </x:c>
      <x:c r="I94" s="41" t="str">
        <x:v>commun:74</x:v>
      </x:c>
      <x:c r="J94" s="41" t="str">
        <x:v>commun:9</x:v>
      </x:c>
      <x:c r="K94" s="41" t="str">
        <x:v>commun:M3</x:v>
      </x:c>
      <x:c r="L94" s="41" t="str">
        <x:v>commun:20</x:v>
      </x:c>
      <x:c r="M94" s="41" t="str">
        <x:v>commun:3</x:v>
      </x:c>
      <x:c r="N94" s="41" t="str">
        <x:v>commun:10</x:v>
      </x:c>
      <x:c r="O94" s="41" t="str">
        <x:v>commun:48</x:v>
      </x:c>
      <x:c r="P94" s="41" t="str">
        <x:v>commun:165</x:v>
      </x:c>
      <x:c r="Q94" s="41" t="str">
        <x:v>commun:191</x:v>
      </x:c>
      <x:c r="R94" s="41" t="str">
        <x:v>commun:80</x:v>
      </x:c>
      <x:c r="S94" s="41" t="str"/>
      <x:c r="T94" s="41" t="str">
        <x:v>bonfiglioli:mx05b:j-0p00029-m-4p8</x:v>
      </x:c>
    </x:row>
    <x:row r="95">
      <x:c r="A95" s="41" t="str">
        <x:v>MX</x:v>
      </x:c>
      <x:c r="B95" s="41" t="str">
        <x:v>MX 05B</x:v>
      </x:c>
      <x:c r="C95" s="41" t="str">
        <x:v>j-0p00029-m-5p1</x:v>
      </x:c>
      <x:c r="D95" s="41" t="str">
        <x:v>4</x:v>
      </x:c>
      <x:c r="E95" s="43" t="str">
        <x:v>Moteur intégré pour motoréducteur - interface constructeur non IEC</x:v>
      </x:c>
      <x:c r="F95" s="43" t="str">
        <x:v>Catalogue_BONFIGLIOLI_Moteur.pdf p.78</x:v>
      </x:c>
      <x:c r="G95" s="41" t="str">
        <x:v>commun:121</x:v>
      </x:c>
      <x:c r="H95" s="41" t="str">
        <x:v>commun:95</x:v>
      </x:c>
      <x:c r="I95" s="41" t="str">
        <x:v>commun:74</x:v>
      </x:c>
      <x:c r="J95" s="41" t="str">
        <x:v>commun:9</x:v>
      </x:c>
      <x:c r="K95" s="41" t="str">
        <x:v>commun:M3</x:v>
      </x:c>
      <x:c r="L95" s="41" t="str">
        <x:v>commun:20</x:v>
      </x:c>
      <x:c r="M95" s="41" t="str">
        <x:v>commun:3</x:v>
      </x:c>
      <x:c r="N95" s="41" t="str">
        <x:v>commun:10</x:v>
      </x:c>
      <x:c r="O95" s="41" t="str">
        <x:v>commun:48</x:v>
      </x:c>
      <x:c r="P95" s="41" t="str">
        <x:v>commun:165</x:v>
      </x:c>
      <x:c r="Q95" s="41" t="str">
        <x:v>commun:191</x:v>
      </x:c>
      <x:c r="R95" s="41" t="str">
        <x:v>commun:80</x:v>
      </x:c>
      <x:c r="S95" s="41" t="str"/>
      <x:c r="T95" s="41" t="str">
        <x:v>bonfiglioli:mx05b:j-0p00029-m-5p1</x:v>
      </x:c>
    </x:row>
    <x:row r="96">
      <x:c r="A96" s="41" t="str">
        <x:v>MX</x:v>
      </x:c>
      <x:c r="B96" s="41" t="str">
        <x:v>MX 1SA</x:v>
      </x:c>
      <x:c r="C96" s="41" t="str">
        <x:v>j-0p00063-m-5p4</x:v>
      </x:c>
      <x:c r="D96" s="41" t="str">
        <x:v>4</x:v>
      </x:c>
      <x:c r="E96" s="43" t="str">
        <x:v>Moteur intégré pour motoréducteur - interface constructeur non IEC</x:v>
      </x:c>
      <x:c r="F96" s="43" t="str">
        <x:v>Catalogue_BONFIGLIOLI_Moteur.pdf p.78</x:v>
      </x:c>
      <x:c r="G96" s="41" t="str">
        <x:v>commun:138</x:v>
      </x:c>
      <x:c r="H96" s="41" t="str">
        <x:v>commun:108</x:v>
      </x:c>
      <x:c r="I96" s="41" t="str">
        <x:v>commun:74</x:v>
      </x:c>
      <x:c r="J96" s="41" t="str">
        <x:v>commun:11</x:v>
      </x:c>
      <x:c r="K96" s="41" t="str">
        <x:v>commun:M4</x:v>
      </x:c>
      <x:c r="L96" s="41" t="str">
        <x:v>commun:23</x:v>
      </x:c>
      <x:c r="M96" s="41" t="str">
        <x:v>commun:4</x:v>
      </x:c>
      <x:c r="N96" s="41" t="str">
        <x:v>commun:13</x:v>
      </x:c>
      <x:c r="O96" s="41" t="str">
        <x:v>commun:45</x:v>
      </x:c>
      <x:c r="P96" s="41" t="str">
        <x:v>commun:187</x:v>
      </x:c>
      <x:c r="Q96" s="41" t="str">
        <x:v>commun:219</x:v>
      </x:c>
      <x:c r="R96" s="41" t="str">
        <x:v>commun:80</x:v>
      </x:c>
      <x:c r="S96" s="41" t="str"/>
      <x:c r="T96" s="41" t="str">
        <x:v>bonfiglioli:mx1sa:j-0p00063-m-5p4</x:v>
      </x:c>
    </x:row>
    <x:row r="97">
      <x:c r="A97" s="41" t="str">
        <x:v>MX</x:v>
      </x:c>
      <x:c r="B97" s="41" t="str">
        <x:v>MX 1SB</x:v>
      </x:c>
      <x:c r="C97" s="41" t="str">
        <x:v>j-0p001-m-6p9</x:v>
      </x:c>
      <x:c r="D97" s="41" t="str">
        <x:v>4</x:v>
      </x:c>
      <x:c r="E97" s="43" t="str">
        <x:v>Moteur intégré pour motoréducteur - interface constructeur non IEC</x:v>
      </x:c>
      <x:c r="F97" s="43" t="str">
        <x:v>Catalogue_BONFIGLIOLI_Moteur.pdf p.78</x:v>
      </x:c>
      <x:c r="G97" s="41" t="str">
        <x:v>commun:138</x:v>
      </x:c>
      <x:c r="H97" s="41" t="str">
        <x:v>commun:108</x:v>
      </x:c>
      <x:c r="I97" s="41" t="str">
        <x:v>commun:74</x:v>
      </x:c>
      <x:c r="J97" s="41" t="str">
        <x:v>commun:11</x:v>
      </x:c>
      <x:c r="K97" s="41" t="str">
        <x:v>commun:M4</x:v>
      </x:c>
      <x:c r="L97" s="41" t="str">
        <x:v>commun:23</x:v>
      </x:c>
      <x:c r="M97" s="41" t="str">
        <x:v>commun:4</x:v>
      </x:c>
      <x:c r="N97" s="41" t="str">
        <x:v>commun:13</x:v>
      </x:c>
      <x:c r="O97" s="41" t="str">
        <x:v>commun:45</x:v>
      </x:c>
      <x:c r="P97" s="41" t="str">
        <x:v>commun:187</x:v>
      </x:c>
      <x:c r="Q97" s="41" t="str">
        <x:v>commun:219</x:v>
      </x:c>
      <x:c r="R97" s="41" t="str">
        <x:v>commun:80</x:v>
      </x:c>
      <x:c r="S97" s="41" t="str"/>
      <x:c r="T97" s="41" t="str">
        <x:v>bonfiglioli:mx1sb:j-0p001-m-6p9</x:v>
      </x:c>
    </x:row>
    <x:row r="98">
      <x:c r="A98" s="41" t="str">
        <x:v>MX</x:v>
      </x:c>
      <x:c r="B98" s="41" t="str">
        <x:v>MX 2SA</x:v>
      </x:c>
      <x:c r="C98" s="41" t="str">
        <x:v>j-0p0028-m-12p2</x:v>
      </x:c>
      <x:c r="D98" s="41" t="str">
        <x:v>4</x:v>
      </x:c>
      <x:c r="E98" s="43" t="str">
        <x:v>Moteur intégré pour motoréducteur - interface constructeur non IEC</x:v>
      </x:c>
      <x:c r="F98" s="43" t="str">
        <x:v>Catalogue_BONFIGLIOLI_Moteur.pdf p.78</x:v>
      </x:c>
      <x:c r="G98" s="41" t="str">
        <x:v>commun:156</x:v>
      </x:c>
      <x:c r="H98" s="41" t="str">
        <x:v>commun:119</x:v>
      </x:c>
      <x:c r="I98" s="41" t="str">
        <x:v>commun:74</x:v>
      </x:c>
      <x:c r="J98" s="41" t="str">
        <x:v>commun:14</x:v>
      </x:c>
      <x:c r="K98" s="41" t="str">
        <x:v>commun:M5</x:v>
      </x:c>
      <x:c r="L98" s="41" t="str">
        <x:v>commun:30</x:v>
      </x:c>
      <x:c r="M98" s="41" t="str">
        <x:v>commun:5</x:v>
      </x:c>
      <x:c r="N98" s="41" t="str">
        <x:v>commun:16</x:v>
      </x:c>
      <x:c r="O98" s="41" t="str">
        <x:v>commun:44</x:v>
      </x:c>
      <x:c r="P98" s="41" t="str">
        <x:v>commun:200</x:v>
      </x:c>
      <x:c r="Q98" s="41" t="str">
        <x:v>commun:232</x:v>
      </x:c>
      <x:c r="R98" s="41" t="str">
        <x:v>commun:80</x:v>
      </x:c>
      <x:c r="S98" s="41" t="str"/>
      <x:c r="T98" s="41" t="str">
        <x:v>bonfiglioli:mx2sa:j-0p0028-m-12p2</x:v>
      </x:c>
    </x:row>
    <x:row r="99">
      <x:c r="A99" s="41" t="str">
        <x:v>MX</x:v>
      </x:c>
      <x:c r="B99" s="41" t="str">
        <x:v>MX 2SB</x:v>
      </x:c>
      <x:c r="C99" s="41" t="str">
        <x:v>j-0p0027-m-16</x:v>
      </x:c>
      <x:c r="D99" s="41" t="str">
        <x:v>4</x:v>
      </x:c>
      <x:c r="E99" s="43" t="str">
        <x:v>Moteur intégré pour motoréducteur - interface constructeur non IEC</x:v>
      </x:c>
      <x:c r="F99" s="43" t="str">
        <x:v>Catalogue_BONFIGLIOLI_Moteur.pdf p.78</x:v>
      </x:c>
      <x:c r="G99" s="41" t="str">
        <x:v>commun:156</x:v>
      </x:c>
      <x:c r="H99" s="41" t="str">
        <x:v>commun:119</x:v>
      </x:c>
      <x:c r="I99" s="41" t="str">
        <x:v>commun:74</x:v>
      </x:c>
      <x:c r="J99" s="41" t="str">
        <x:v>commun:14</x:v>
      </x:c>
      <x:c r="K99" s="41" t="str">
        <x:v>commun:M5</x:v>
      </x:c>
      <x:c r="L99" s="41" t="str">
        <x:v>commun:30</x:v>
      </x:c>
      <x:c r="M99" s="41" t="str">
        <x:v>commun:5</x:v>
      </x:c>
      <x:c r="N99" s="41" t="str">
        <x:v>commun:16</x:v>
      </x:c>
      <x:c r="O99" s="41" t="str">
        <x:v>commun:44</x:v>
      </x:c>
      <x:c r="P99" s="41" t="str">
        <x:v>commun:246</x:v>
      </x:c>
      <x:c r="Q99" s="41" t="str">
        <x:v>commun:278</x:v>
      </x:c>
      <x:c r="R99" s="41" t="str">
        <x:v>commun:80</x:v>
      </x:c>
      <x:c r="S99" s="41" t="str"/>
      <x:c r="T99" s="41" t="str">
        <x:v>bonfiglioli:mx2sb:j-0p0027-m-16</x:v>
      </x:c>
    </x:row>
    <x:row r="100">
      <x:c r="A100" s="41" t="str">
        <x:v>MX</x:v>
      </x:c>
      <x:c r="B100" s="41" t="str">
        <x:v>MX 2SB</x:v>
      </x:c>
      <x:c r="C100" s="41" t="str">
        <x:v>j-0p0035-m-16</x:v>
      </x:c>
      <x:c r="D100" s="41" t="str">
        <x:v>4</x:v>
      </x:c>
      <x:c r="E100" s="43" t="str">
        <x:v>Moteur intégré pour motoréducteur - interface constructeur non IEC</x:v>
      </x:c>
      <x:c r="F100" s="43" t="str">
        <x:v>Catalogue_BONFIGLIOLI_Moteur.pdf p.78</x:v>
      </x:c>
      <x:c r="G100" s="41" t="str">
        <x:v>commun:156</x:v>
      </x:c>
      <x:c r="H100" s="41" t="str">
        <x:v>commun:119</x:v>
      </x:c>
      <x:c r="I100" s="41" t="str">
        <x:v>commun:74</x:v>
      </x:c>
      <x:c r="J100" s="41" t="str">
        <x:v>commun:14</x:v>
      </x:c>
      <x:c r="K100" s="41" t="str">
        <x:v>commun:M5</x:v>
      </x:c>
      <x:c r="L100" s="41" t="str">
        <x:v>commun:30</x:v>
      </x:c>
      <x:c r="M100" s="41" t="str">
        <x:v>commun:5</x:v>
      </x:c>
      <x:c r="N100" s="41" t="str">
        <x:v>commun:16</x:v>
      </x:c>
      <x:c r="O100" s="41" t="str">
        <x:v>commun:44</x:v>
      </x:c>
      <x:c r="P100" s="41" t="str">
        <x:v>commun:246</x:v>
      </x:c>
      <x:c r="Q100" s="41" t="str">
        <x:v>commun:278</x:v>
      </x:c>
      <x:c r="R100" s="41" t="str">
        <x:v>commun:80</x:v>
      </x:c>
      <x:c r="S100" s="41" t="str"/>
      <x:c r="T100" s="41" t="str">
        <x:v>bonfiglioli:mx2sb:j-0p0035-m-16</x:v>
      </x:c>
    </x:row>
    <x:row r="101">
      <x:c r="A101" s="41" t="str">
        <x:v>MX</x:v>
      </x:c>
      <x:c r="B101" s="41" t="str">
        <x:v>MX 3LA</x:v>
      </x:c>
      <x:c r="C101" s="41" t="str">
        <x:v>j-0p0058000000000000005-m-24</x:v>
      </x:c>
      <x:c r="D101" s="41" t="str">
        <x:v>4</x:v>
      </x:c>
      <x:c r="E101" s="43" t="str">
        <x:v>Moteur intégré pour motoréducteur - interface constructeur non IEC</x:v>
      </x:c>
      <x:c r="F101" s="43" t="str">
        <x:v>Catalogue_BONFIGLIOLI_Moteur.pdf p.78</x:v>
      </x:c>
      <x:c r="G101" s="41" t="str">
        <x:v>commun:195</x:v>
      </x:c>
      <x:c r="H101" s="41" t="str">
        <x:v>commun:142</x:v>
      </x:c>
      <x:c r="I101" s="41" t="str">
        <x:v>commun:98</x:v>
      </x:c>
      <x:c r="J101" s="41" t="str">
        <x:v>commun:24</x:v>
      </x:c>
      <x:c r="K101" s="41" t="str">
        <x:v>commun:M8</x:v>
      </x:c>
      <x:c r="L101" s="41" t="str">
        <x:v>commun:50</x:v>
      </x:c>
      <x:c r="M101" s="41" t="str">
        <x:v>commun:8</x:v>
      </x:c>
      <x:c r="N101" s="41" t="str">
        <x:v>commun:27</x:v>
      </x:c>
      <x:c r="O101" s="41" t="str">
        <x:v>commun:53</x:v>
      </x:c>
      <x:c r="P101" s="41" t="str">
        <x:v>commun:305</x:v>
      </x:c>
      <x:c r="Q101" s="41" t="str">
        <x:v>commun:357</x:v>
      </x:c>
      <x:c r="R101" s="41" t="str">
        <x:v>commun:98</x:v>
      </x:c>
      <x:c r="S101" s="41" t="str"/>
      <x:c r="T101" s="41" t="str">
        <x:v>bonfiglioli:mx3la:j-0p0058000000000000005-m-24</x:v>
      </x:c>
    </x:row>
    <x:row r="102">
      <x:c r="A102" s="41" t="str">
        <x:v>MX</x:v>
      </x:c>
      <x:c r="B102" s="41" t="str">
        <x:v>MX 3LA</x:v>
      </x:c>
      <x:c r="C102" s="41" t="str">
        <x:v>j-0p0073-m-29</x:v>
      </x:c>
      <x:c r="D102" s="41" t="str">
        <x:v>4</x:v>
      </x:c>
      <x:c r="E102" s="43" t="str">
        <x:v>Moteur intégré pour motoréducteur - interface constructeur non IEC</x:v>
      </x:c>
      <x:c r="F102" s="43" t="str">
        <x:v>Catalogue_BONFIGLIOLI_Moteur.pdf p.78</x:v>
      </x:c>
      <x:c r="G102" s="41" t="str">
        <x:v>commun:195</x:v>
      </x:c>
      <x:c r="H102" s="41" t="str">
        <x:v>commun:142</x:v>
      </x:c>
      <x:c r="I102" s="41" t="str">
        <x:v>commun:98</x:v>
      </x:c>
      <x:c r="J102" s="41" t="str">
        <x:v>commun:24</x:v>
      </x:c>
      <x:c r="K102" s="41" t="str">
        <x:v>commun:M8</x:v>
      </x:c>
      <x:c r="L102" s="41" t="str">
        <x:v>commun:50</x:v>
      </x:c>
      <x:c r="M102" s="41" t="str">
        <x:v>commun:8</x:v>
      </x:c>
      <x:c r="N102" s="41" t="str">
        <x:v>commun:27</x:v>
      </x:c>
      <x:c r="O102" s="41" t="str">
        <x:v>commun:53</x:v>
      </x:c>
      <x:c r="P102" s="41" t="str">
        <x:v>commun:305</x:v>
      </x:c>
      <x:c r="Q102" s="41" t="str">
        <x:v>commun:357</x:v>
      </x:c>
      <x:c r="R102" s="41" t="str">
        <x:v>commun:98</x:v>
      </x:c>
      <x:c r="S102" s="41" t="str"/>
      <x:c r="T102" s="41" t="str">
        <x:v>bonfiglioli:mx3la:j-0p0073-m-29</x:v>
      </x:c>
    </x:row>
    <x:row r="103">
      <x:c r="A103" s="41" t="str">
        <x:v>MX</x:v>
      </x:c>
      <x:c r="B103" s="41" t="str">
        <x:v>MX 3LB</x:v>
      </x:c>
      <x:c r="C103" s="41" t="str">
        <x:v>j-0p0073-m-29</x:v>
      </x:c>
      <x:c r="D103" s="41" t="str">
        <x:v>4</x:v>
      </x:c>
      <x:c r="E103" s="43" t="str">
        <x:v>Moteur intégré pour motoréducteur - interface constructeur non IEC</x:v>
      </x:c>
      <x:c r="F103" s="43" t="str">
        <x:v>Catalogue_BONFIGLIOLI_Moteur.pdf p.78</x:v>
      </x:c>
      <x:c r="G103" s="41" t="str">
        <x:v>commun:195</x:v>
      </x:c>
      <x:c r="H103" s="41" t="str">
        <x:v>commun:142</x:v>
      </x:c>
      <x:c r="I103" s="41" t="str">
        <x:v>commun:98</x:v>
      </x:c>
      <x:c r="J103" s="41" t="str">
        <x:v>commun:24</x:v>
      </x:c>
      <x:c r="K103" s="41" t="str">
        <x:v>commun:M8</x:v>
      </x:c>
      <x:c r="L103" s="41" t="str">
        <x:v>commun:50</x:v>
      </x:c>
      <x:c r="M103" s="41" t="str">
        <x:v>commun:8</x:v>
      </x:c>
      <x:c r="N103" s="41" t="str">
        <x:v>commun:27</x:v>
      </x:c>
      <x:c r="O103" s="41" t="str">
        <x:v>commun:53</x:v>
      </x:c>
      <x:c r="P103" s="41" t="str">
        <x:v>commun:305</x:v>
      </x:c>
      <x:c r="Q103" s="41" t="str">
        <x:v>commun:357</x:v>
      </x:c>
      <x:c r="R103" s="41" t="str">
        <x:v>commun:98</x:v>
      </x:c>
      <x:c r="S103" s="41" t="str"/>
      <x:c r="T103" s="41" t="str">
        <x:v>bonfiglioli:mx3lb:j-0p0073-m-29</x:v>
      </x:c>
    </x:row>
    <x:row r="104">
      <x:c r="A104" s="41" t="str">
        <x:v>MX</x:v>
      </x:c>
      <x:c r="B104" s="41" t="str">
        <x:v>MX 3SA</x:v>
      </x:c>
      <x:c r="C104" s="41" t="str">
        <x:v>j-0p0035-m-17</x:v>
      </x:c>
      <x:c r="D104" s="41" t="str">
        <x:v>4</x:v>
      </x:c>
      <x:c r="E104" s="43" t="str">
        <x:v>Moteur intégré pour motoréducteur - interface constructeur non IEC</x:v>
      </x:c>
      <x:c r="F104" s="43" t="str">
        <x:v>Catalogue_BONFIGLIOLI_Moteur.pdf p.78</x:v>
      </x:c>
      <x:c r="G104" s="41" t="str">
        <x:v>commun:195</x:v>
      </x:c>
      <x:c r="H104" s="41" t="str">
        <x:v>commun:142</x:v>
      </x:c>
      <x:c r="I104" s="41" t="str">
        <x:v>commun:98</x:v>
      </x:c>
      <x:c r="J104" s="41" t="str">
        <x:v>commun:24</x:v>
      </x:c>
      <x:c r="K104" s="41" t="str">
        <x:v>commun:M8</x:v>
      </x:c>
      <x:c r="L104" s="41" t="str">
        <x:v>commun:50</x:v>
      </x:c>
      <x:c r="M104" s="41" t="str">
        <x:v>commun:8</x:v>
      </x:c>
      <x:c r="N104" s="41" t="str">
        <x:v>commun:27</x:v>
      </x:c>
      <x:c r="O104" s="41" t="str">
        <x:v>commun:53</x:v>
      </x:c>
      <x:c r="P104" s="41" t="str">
        <x:v>commun:265</x:v>
      </x:c>
      <x:c r="Q104" s="41" t="str">
        <x:v>commun:317</x:v>
      </x:c>
      <x:c r="R104" s="41" t="str">
        <x:v>commun:98</x:v>
      </x:c>
      <x:c r="S104" s="41" t="str"/>
      <x:c r="T104" s="41" t="str">
        <x:v>bonfiglioli:mx3sa:j-0p0035-m-17</x:v>
      </x:c>
    </x:row>
    <x:row r="105">
      <x:c r="A105" s="41" t="str">
        <x:v>MX</x:v>
      </x:c>
      <x:c r="B105" s="41" t="str">
        <x:v>MX 3SB</x:v>
      </x:c>
      <x:c r="C105" s="41" t="str">
        <x:v>j-0p0043-m-20</x:v>
      </x:c>
      <x:c r="D105" s="41" t="str">
        <x:v>4</x:v>
      </x:c>
      <x:c r="E105" s="43" t="str">
        <x:v>Moteur intégré pour motoréducteur - interface constructeur non IEC</x:v>
      </x:c>
      <x:c r="F105" s="43" t="str">
        <x:v>Catalogue_BONFIGLIOLI_Moteur.pdf p.78</x:v>
      </x:c>
      <x:c r="G105" s="41" t="str">
        <x:v>commun:195</x:v>
      </x:c>
      <x:c r="H105" s="41" t="str">
        <x:v>commun:142</x:v>
      </x:c>
      <x:c r="I105" s="41" t="str">
        <x:v>commun:98</x:v>
      </x:c>
      <x:c r="J105" s="41" t="str">
        <x:v>commun:24</x:v>
      </x:c>
      <x:c r="K105" s="41" t="str">
        <x:v>commun:M8</x:v>
      </x:c>
      <x:c r="L105" s="41" t="str">
        <x:v>commun:50</x:v>
      </x:c>
      <x:c r="M105" s="41" t="str">
        <x:v>commun:8</x:v>
      </x:c>
      <x:c r="N105" s="41" t="str">
        <x:v>commun:27</x:v>
      </x:c>
      <x:c r="O105" s="41" t="str">
        <x:v>commun:53</x:v>
      </x:c>
      <x:c r="P105" s="41" t="str">
        <x:v>commun:265</x:v>
      </x:c>
      <x:c r="Q105" s="41" t="str">
        <x:v>commun:317</x:v>
      </x:c>
      <x:c r="R105" s="41" t="str">
        <x:v>commun:98</x:v>
      </x:c>
      <x:c r="S105" s="41" t="str"/>
      <x:c r="T105" s="41" t="str">
        <x:v>bonfiglioli:mx3sb:j-0p0043-m-20</x:v>
      </x:c>
    </x:row>
    <x:row r="106">
      <x:c r="A106" s="41" t="str">
        <x:v>MX</x:v>
      </x:c>
      <x:c r="B106" s="41" t="str">
        <x:v>MX 4LA</x:v>
      </x:c>
      <x:c r="C106" s="41" t="str">
        <x:v>j-0p036000000000000004-m-67</x:v>
      </x:c>
      <x:c r="D106" s="41" t="str">
        <x:v>4</x:v>
      </x:c>
      <x:c r="E106" s="43" t="str">
        <x:v>Moteur intégré pour motoréducteur - interface constructeur non IEC</x:v>
      </x:c>
      <x:c r="F106" s="43" t="str">
        <x:v>Catalogue_BONFIGLIOLI_Moteur.pdf p.78</x:v>
      </x:c>
      <x:c r="G106" s="41" t="str">
        <x:v>commun:258</x:v>
      </x:c>
      <x:c r="H106" s="41" t="str">
        <x:v>commun:193</x:v>
      </x:c>
      <x:c r="I106" s="41" t="str">
        <x:v>commun:118</x:v>
      </x:c>
      <x:c r="J106" s="41" t="str">
        <x:v>commun:28</x:v>
      </x:c>
      <x:c r="K106" s="41" t="str">
        <x:v>commun:M10</x:v>
      </x:c>
      <x:c r="L106" s="41" t="str">
        <x:v>commun:60</x:v>
      </x:c>
      <x:c r="M106" s="41" t="str">
        <x:v>commun:8</x:v>
      </x:c>
      <x:c r="N106" s="41" t="str">
        <x:v>commun:31</x:v>
      </x:c>
      <x:c r="O106" s="41" t="str">
        <x:v>commun:64</x:v>
      </x:c>
      <x:c r="P106" s="41" t="str">
        <x:v>commun:396</x:v>
      </x:c>
      <x:c r="Q106" s="41" t="str">
        <x:v>commun:459</x:v>
      </x:c>
      <x:c r="R106" s="41" t="str">
        <x:v>commun:118</x:v>
      </x:c>
      <x:c r="S106" s="41" t="str"/>
      <x:c r="T106" s="41" t="str">
        <x:v>bonfiglioli:mx4la:j-0p036000000000000004-m-67</x:v>
      </x:c>
    </x:row>
    <x:row r="107">
      <x:c r="A107" s="41" t="str">
        <x:v>MX</x:v>
      </x:c>
      <x:c r="B107" s="41" t="str">
        <x:v>MX 4LA</x:v>
      </x:c>
      <x:c r="C107" s="41" t="str">
        <x:v>j-0p041-m-77</x:v>
      </x:c>
      <x:c r="D107" s="41" t="str">
        <x:v>4</x:v>
      </x:c>
      <x:c r="E107" s="43" t="str">
        <x:v>Moteur intégré pour motoréducteur - interface constructeur non IEC</x:v>
      </x:c>
      <x:c r="F107" s="43" t="str">
        <x:v>Catalogue_BONFIGLIOLI_Moteur.pdf p.78</x:v>
      </x:c>
      <x:c r="G107" s="41" t="str">
        <x:v>commun:258</x:v>
      </x:c>
      <x:c r="H107" s="41" t="str">
        <x:v>commun:193</x:v>
      </x:c>
      <x:c r="I107" s="41" t="str">
        <x:v>commun:118</x:v>
      </x:c>
      <x:c r="J107" s="41" t="str">
        <x:v>commun:28</x:v>
      </x:c>
      <x:c r="K107" s="41" t="str">
        <x:v>commun:M10</x:v>
      </x:c>
      <x:c r="L107" s="41" t="str">
        <x:v>commun:60</x:v>
      </x:c>
      <x:c r="M107" s="41" t="str">
        <x:v>commun:8</x:v>
      </x:c>
      <x:c r="N107" s="41" t="str">
        <x:v>commun:31</x:v>
      </x:c>
      <x:c r="O107" s="41" t="str">
        <x:v>commun:64</x:v>
      </x:c>
      <x:c r="P107" s="41" t="str">
        <x:v>commun:396</x:v>
      </x:c>
      <x:c r="Q107" s="41" t="str">
        <x:v>commun:459</x:v>
      </x:c>
      <x:c r="R107" s="41" t="str">
        <x:v>commun:118</x:v>
      </x:c>
      <x:c r="S107" s="41" t="str"/>
      <x:c r="T107" s="41" t="str">
        <x:v>bonfiglioli:mx4la:j-0p041-m-77</x:v>
      </x:c>
    </x:row>
    <x:row r="108">
      <x:c r="A108" s="41" t="str">
        <x:v>MX</x:v>
      </x:c>
      <x:c r="B108" s="41" t="str">
        <x:v>MX 4SA</x:v>
      </x:c>
      <x:c r="C108" s="41" t="str">
        <x:v>j-0p022500000000000003-m-45</x:v>
      </x:c>
      <x:c r="D108" s="41" t="str">
        <x:v>4</x:v>
      </x:c>
      <x:c r="E108" s="43" t="str">
        <x:v>Moteur intégré pour motoréducteur - interface constructeur non IEC</x:v>
      </x:c>
      <x:c r="F108" s="43" t="str">
        <x:v>Catalogue_BONFIGLIOLI_Moteur.pdf p.78</x:v>
      </x:c>
      <x:c r="G108" s="41" t="str">
        <x:v>commun:258</x:v>
      </x:c>
      <x:c r="H108" s="41" t="str">
        <x:v>commun:193</x:v>
      </x:c>
      <x:c r="I108" s="41" t="str">
        <x:v>commun:118</x:v>
      </x:c>
      <x:c r="J108" s="41" t="str">
        <x:v>commun:28</x:v>
      </x:c>
      <x:c r="K108" s="41" t="str">
        <x:v>commun:M10</x:v>
      </x:c>
      <x:c r="L108" s="41" t="str">
        <x:v>commun:60</x:v>
      </x:c>
      <x:c r="M108" s="41" t="str">
        <x:v>commun:8</x:v>
      </x:c>
      <x:c r="N108" s="41" t="str">
        <x:v>commun:31</x:v>
      </x:c>
      <x:c r="O108" s="41" t="str">
        <x:v>commun:64</x:v>
      </x:c>
      <x:c r="P108" s="41" t="str">
        <x:v>commun:361</x:v>
      </x:c>
      <x:c r="Q108" s="41" t="str">
        <x:v>commun:424</x:v>
      </x:c>
      <x:c r="R108" s="41" t="str">
        <x:v>commun:118</x:v>
      </x:c>
      <x:c r="S108" s="41" t="str"/>
      <x:c r="T108" s="41" t="str">
        <x:v>bonfiglioli:mx4sa:j-0p022500000000000003-m-45</x:v>
      </x:c>
    </x:row>
    <x:row r="109">
      <x:c r="A109" s="41" t="str">
        <x:v>MX</x:v>
      </x:c>
      <x:c r="B109" s="41" t="str">
        <x:v>MX 4SB</x:v>
      </x:c>
      <x:c r="C109" s="41" t="str">
        <x:v>j-0p031-m-57</x:v>
      </x:c>
      <x:c r="D109" s="41" t="str">
        <x:v>4</x:v>
      </x:c>
      <x:c r="E109" s="43" t="str">
        <x:v>Moteur intégré pour motoréducteur - interface constructeur non IEC</x:v>
      </x:c>
      <x:c r="F109" s="43" t="str">
        <x:v>Catalogue_BONFIGLIOLI_Moteur.pdf p.78</x:v>
      </x:c>
      <x:c r="G109" s="41" t="str">
        <x:v>commun:258</x:v>
      </x:c>
      <x:c r="H109" s="41" t="str">
        <x:v>commun:193</x:v>
      </x:c>
      <x:c r="I109" s="41" t="str">
        <x:v>commun:118</x:v>
      </x:c>
      <x:c r="J109" s="41" t="str">
        <x:v>commun:28</x:v>
      </x:c>
      <x:c r="K109" s="41" t="str">
        <x:v>commun:M10</x:v>
      </x:c>
      <x:c r="L109" s="41" t="str">
        <x:v>commun:60</x:v>
      </x:c>
      <x:c r="M109" s="41" t="str">
        <x:v>commun:8</x:v>
      </x:c>
      <x:c r="N109" s="41" t="str">
        <x:v>commun:31</x:v>
      </x:c>
      <x:c r="O109" s="41" t="str">
        <x:v>commun:64</x:v>
      </x:c>
      <x:c r="P109" s="41" t="str">
        <x:v>commun:361</x:v>
      </x:c>
      <x:c r="Q109" s="41" t="str">
        <x:v>commun:424</x:v>
      </x:c>
      <x:c r="R109" s="41" t="str">
        <x:v>commun:118</x:v>
      </x:c>
      <x:c r="S109" s="41" t="str"/>
      <x:c r="T109" s="41" t="str">
        <x:v>bonfiglioli:mx4sb:j-0p031-m-57</x:v>
      </x:c>
    </x:row>
    <x:row r="110">
      <x:c r="A110" s="41" t="str">
        <x:v>MX</x:v>
      </x:c>
      <x:c r="B110" s="41" t="str">
        <x:v>MX 4SB</x:v>
      </x:c>
      <x:c r="C110" s="41" t="str">
        <x:v>j-0p041-m-77</x:v>
      </x:c>
      <x:c r="D110" s="41" t="str">
        <x:v>4</x:v>
      </x:c>
      <x:c r="E110" s="43" t="str">
        <x:v>Moteur intégré pour motoréducteur - interface constructeur non IEC</x:v>
      </x:c>
      <x:c r="F110" s="43" t="str">
        <x:v>Catalogue_BONFIGLIOLI_Moteur.pdf p.78</x:v>
      </x:c>
      <x:c r="G110" s="41" t="str">
        <x:v>commun:258</x:v>
      </x:c>
      <x:c r="H110" s="41" t="str">
        <x:v>commun:193</x:v>
      </x:c>
      <x:c r="I110" s="41" t="str">
        <x:v>commun:118</x:v>
      </x:c>
      <x:c r="J110" s="41" t="str">
        <x:v>commun:28</x:v>
      </x:c>
      <x:c r="K110" s="41" t="str">
        <x:v>commun:M10</x:v>
      </x:c>
      <x:c r="L110" s="41" t="str">
        <x:v>commun:60</x:v>
      </x:c>
      <x:c r="M110" s="41" t="str">
        <x:v>commun:8</x:v>
      </x:c>
      <x:c r="N110" s="41" t="str">
        <x:v>commun:31</x:v>
      </x:c>
      <x:c r="O110" s="41" t="str">
        <x:v>commun:64</x:v>
      </x:c>
      <x:c r="P110" s="41" t="str">
        <x:v>commun:361</x:v>
      </x:c>
      <x:c r="Q110" s="41" t="str">
        <x:v>commun:424</x:v>
      </x:c>
      <x:c r="R110" s="41" t="str">
        <x:v>commun:118</x:v>
      </x:c>
      <x:c r="S110" s="41" t="str"/>
      <x:c r="T110" s="41" t="str">
        <x:v>bonfiglioli:mx4sb:j-0p041-m-77</x:v>
      </x:c>
    </x:row>
    <x:row r="111">
      <x:c r="A111" s="41" t="str">
        <x:v>MX</x:v>
      </x:c>
      <x:c r="B111" s="41" t="str">
        <x:v>MX 5LA</x:v>
      </x:c>
      <x:c r="C111" s="41" t="str">
        <x:v>j-0p08900000000000001-m-121</x:v>
      </x:c>
      <x:c r="D111" s="41" t="str">
        <x:v>4</x:v>
      </x:c>
      <x:c r="E111" s="43" t="str">
        <x:v>Moteur intégré pour motoréducteur - interface constructeur non IEC</x:v>
      </x:c>
      <x:c r="F111" s="43" t="str">
        <x:v>Catalogue_BONFIGLIOLI_Moteur.pdf p.78</x:v>
      </x:c>
      <x:c r="G111" s="41" t="str">
        <x:v>commun:310</x:v>
      </x:c>
      <x:c r="H111" s="41" t="str">
        <x:v>commun:245</x:v>
      </x:c>
      <x:c r="I111" s="41" t="str">
        <x:v>commun:187</x:v>
      </x:c>
      <x:c r="J111" s="41" t="str">
        <x:v>commun:38</x:v>
      </x:c>
      <x:c r="K111" s="41" t="str">
        <x:v>commun:M12</x:v>
      </x:c>
      <x:c r="L111" s="41" t="str">
        <x:v>commun:80</x:v>
      </x:c>
      <x:c r="M111" s="41" t="str">
        <x:v>commun:10</x:v>
      </x:c>
      <x:c r="N111" s="41" t="str">
        <x:v>commun:41</x:v>
      </x:c>
      <x:c r="O111" s="41" t="str">
        <x:v>commun:77</x:v>
      </x:c>
      <x:c r="P111" s="41" t="str">
        <x:v>commun:462</x:v>
      </x:c>
      <x:c r="Q111" s="41" t="str">
        <x:v>commun:546</x:v>
      </x:c>
      <x:c r="R111" s="41" t="str">
        <x:v>commun:187</x:v>
      </x:c>
      <x:c r="S111" s="41" t="str"/>
      <x:c r="T111" s="41" t="str">
        <x:v>bonfiglioli:mx5la:j-0p08900000000000001-m-121</x:v>
      </x:c>
    </x:row>
    <x:row r="112">
      <x:c r="A112" s="41" t="str">
        <x:v>MX</x:v>
      </x:c>
      <x:c r="B112" s="41" t="str">
        <x:v>MX 5SA</x:v>
      </x:c>
      <x:c r="C112" s="41" t="str">
        <x:v>j-0p065-m-95</x:v>
      </x:c>
      <x:c r="D112" s="41" t="str">
        <x:v>4</x:v>
      </x:c>
      <x:c r="E112" s="43" t="str">
        <x:v>Moteur intégré pour motoréducteur - interface constructeur non IEC</x:v>
      </x:c>
      <x:c r="F112" s="43" t="str">
        <x:v>Catalogue_BONFIGLIOLI_Moteur.pdf p.78</x:v>
      </x:c>
      <x:c r="G112" s="41" t="str">
        <x:v>commun:310</x:v>
      </x:c>
      <x:c r="H112" s="41" t="str">
        <x:v>commun:245</x:v>
      </x:c>
      <x:c r="I112" s="41" t="str">
        <x:v>commun:187</x:v>
      </x:c>
      <x:c r="J112" s="41" t="str">
        <x:v>commun:38</x:v>
      </x:c>
      <x:c r="K112" s="41" t="str">
        <x:v>commun:M12</x:v>
      </x:c>
      <x:c r="L112" s="41" t="str">
        <x:v>commun:80</x:v>
      </x:c>
      <x:c r="M112" s="41" t="str">
        <x:v>commun:10</x:v>
      </x:c>
      <x:c r="N112" s="41" t="str">
        <x:v>commun:41</x:v>
      </x:c>
      <x:c r="O112" s="41" t="str">
        <x:v>commun:77</x:v>
      </x:c>
      <x:c r="P112" s="41" t="str">
        <x:v>commun:418</x:v>
      </x:c>
      <x:c r="Q112" s="41" t="str">
        <x:v>commun:502</x:v>
      </x:c>
      <x:c r="R112" s="41" t="str">
        <x:v>commun:187</x:v>
      </x:c>
      <x:c r="S112" s="41" t="str"/>
      <x:c r="T112" s="41" t="str">
        <x:v>bonfiglioli:mx5sa:j-0p065-m-95</x:v>
      </x:c>
    </x:row>
    <x:row r="113">
      <x:c r="A113" s="42" t="str">
        <x:v>MX</x:v>
      </x:c>
      <x:c r="B113" s="42" t="str">
        <x:v>MX 5SB</x:v>
      </x:c>
      <x:c r="C113" s="42" t="str">
        <x:v>j-0p078-m-110</x:v>
      </x:c>
      <x:c r="D113" s="42" t="str">
        <x:v>4</x:v>
      </x:c>
      <x:c r="E113" s="44" t="str">
        <x:v>Moteur intégré pour motoréducteur - interface constructeur non IEC</x:v>
      </x:c>
      <x:c r="F113" s="44" t="str">
        <x:v>Catalogue_BONFIGLIOLI_Moteur.pdf p.78</x:v>
      </x:c>
      <x:c r="G113" s="42" t="str">
        <x:v>commun:310</x:v>
      </x:c>
      <x:c r="H113" s="42" t="str">
        <x:v>commun:245</x:v>
      </x:c>
      <x:c r="I113" s="42" t="str">
        <x:v>commun:187</x:v>
      </x:c>
      <x:c r="J113" s="42" t="str">
        <x:v>commun:38</x:v>
      </x:c>
      <x:c r="K113" s="42" t="str">
        <x:v>commun:M12</x:v>
      </x:c>
      <x:c r="L113" s="42" t="str">
        <x:v>commun:80</x:v>
      </x:c>
      <x:c r="M113" s="42" t="str">
        <x:v>commun:10</x:v>
      </x:c>
      <x:c r="N113" s="42" t="str">
        <x:v>commun:41</x:v>
      </x:c>
      <x:c r="O113" s="42" t="str">
        <x:v>commun:77</x:v>
      </x:c>
      <x:c r="P113" s="42" t="str">
        <x:v>commun:462</x:v>
      </x:c>
      <x:c r="Q113" s="42" t="str">
        <x:v>commun:546</x:v>
      </x:c>
      <x:c r="R113" s="42" t="str">
        <x:v>commun:187</x:v>
      </x:c>
      <x:c r="S113" s="42" t="str"/>
      <x:c r="T113" s="42" t="str">
        <x:v>bonfiglioli:mx5sb:j-0p078-m-110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969c812f5fc246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1" t="str">
        <x:v>Suivi de vérification des dimensions moteurs</x:v>
      </x:c>
      <x:c r="B1" s="51"/>
      <x:c r="C1" s="51"/>
      <x:c r="D1" s="51"/>
      <x:c r="E1" s="51"/>
      <x:c r="F1" s="51"/>
      <x:c r="G1" s="51"/>
      <x:c r="H1" s="51"/>
    </x:row>
    <x:row r="2" ht="34" customHeight="1">
      <x:c r="A2" s="38" t="str">
        <x:v>Candidat régénéré - empreinte ccfb2f8768450698245ace194230e7955866c7f9a07d7c4f74fd938640550cd8. 47 369 cotes sont proposées contre 41 759 dans l’actif actuel ; aucune donnée Supabase n’a été modifiée.</x:v>
      </x:c>
      <x:c r="B2" s="38"/>
      <x:c r="C2" s="38"/>
      <x:c r="D2" s="38"/>
      <x:c r="E2" s="38"/>
      <x:c r="F2" s="38"/>
      <x:c r="G2" s="38"/>
      <x:c r="H2" s="38"/>
    </x:row>
    <x:row r="4">
      <x:c r="A4" s="52" t="str">
        <x:v>Marque</x:v>
      </x:c>
      <x:c r="B4" s="52" t="str">
        <x:v>Modèles à contrôler</x:v>
      </x:c>
      <x:c r="C4" s="52" t="str">
        <x:v>À vérifier</x:v>
      </x:c>
      <x:c r="D4" s="52" t="str">
        <x:v>Confirmés</x:v>
      </x:c>
      <x:c r="E4" s="52" t="str">
        <x:v>Corrigés</x:v>
      </x:c>
      <x:c r="F4" s="52" t="str">
        <x:v>Non applicables</x:v>
      </x:c>
      <x:c r="G4" s="52" t="str">
        <x:v>Catalogue manquant</x:v>
      </x:c>
    </x:row>
    <x:row r="5">
      <x:c r="A5" t="str">
        <x:v>Innomotics</x:v>
      </x:c>
      <x:c r="B5" t="n">
        <x:v>1</x:v>
      </x:c>
      <x:c r="C5" t="n">
        <x:f>COUNTIF('Innomotics'!$A$5:$A$5,"À vérifier")</x:f>
        <x:v>1</x:v>
      </x:c>
      <x:c r="D5" t="n">
        <x:f>COUNTIF('Innomotics'!$A$5:$A$5,"Confirmé")</x:f>
        <x:v>0</x:v>
      </x:c>
      <x:c r="E5" t="n">
        <x:f>COUNTIF('Innomotics'!$A$5:$A$5,"Corrigé")</x:f>
        <x:v>0</x:v>
      </x:c>
      <x:c r="F5" t="n">
        <x:f>COUNTIF('Innomotics'!$A$5:$A$5,"Non applicable")</x:f>
        <x:v>0</x:v>
      </x:c>
      <x:c r="G5" t="n">
        <x:f>COUNTIF('Innomotics'!$A$5:$A$5,"Catalogue manquant")</x:f>
        <x:v>0</x:v>
      </x:c>
    </x:row>
    <x:row r="6">
      <x:c r="A6" t="str">
        <x:v>Leroy-Somer</x:v>
      </x:c>
      <x:c r="B6" t="n">
        <x:v>2</x:v>
      </x:c>
      <x:c r="C6" t="n">
        <x:f>COUNTIF('Leroy-Somer'!$A$5:$A$6,"À vérifier")</x:f>
        <x:v>2</x:v>
      </x:c>
      <x:c r="D6" t="n">
        <x:f>COUNTIF('Leroy-Somer'!$A$5:$A$6,"Confirmé")</x:f>
        <x:v>0</x:v>
      </x:c>
      <x:c r="E6" t="n">
        <x:f>COUNTIF('Leroy-Somer'!$A$5:$A$6,"Corrigé")</x:f>
        <x:v>0</x:v>
      </x:c>
      <x:c r="F6" t="n">
        <x:f>COUNTIF('Leroy-Somer'!$A$5:$A$6,"Non applicable")</x:f>
        <x:v>0</x:v>
      </x:c>
      <x:c r="G6" t="n">
        <x:f>COUNTIF('Leroy-Somer'!$A$5:$A$6,"Catalogue manquant")</x:f>
        <x:v>0</x:v>
      </x:c>
    </x:row>
    <x:row r="7">
      <x:c r="A7" t="str">
        <x:v>Bonfiglioli</x:v>
      </x:c>
      <x:c r="B7" t="n">
        <x:v>115</x:v>
      </x:c>
      <x:c r="C7" t="n">
        <x:f>COUNTIF('Bonfiglioli'!$A$5:$A$119,"À vérifier")</x:f>
        <x:v>6</x:v>
      </x:c>
      <x:c r="D7" t="n">
        <x:f>COUNTIF('Bonfiglioli'!$A$5:$A$119,"Confirmé")</x:f>
        <x:v>0</x:v>
      </x:c>
      <x:c r="E7" t="n">
        <x:f>COUNTIF('Bonfiglioli'!$A$5:$A$119,"Corrigé")</x:f>
        <x:v>0</x:v>
      </x:c>
      <x:c r="F7" t="n">
        <x:f>COUNTIF('Bonfiglioli'!$A$5:$A$119,"Non applicable")</x:f>
        <x:v>109</x:v>
      </x:c>
      <x:c r="G7" t="n">
        <x:f>COUNTIF('Bonfiglioli'!$A$5:$A$119,"Catalogue manquant")</x:f>
        <x:v>0</x:v>
      </x:c>
    </x:row>
    <x:row r="8">
      <x:c r="A8" s="55" t="str">
        <x:v>TOTAL</x:v>
      </x:c>
      <x:c r="B8" s="55" t="n">
        <x:f>SUM(B5:B7)</x:f>
        <x:v>118</x:v>
      </x:c>
      <x:c r="C8" s="55" t="n">
        <x:f>SUM(C5:C7)</x:f>
        <x:v>9</x:v>
      </x:c>
      <x:c r="D8" s="55" t="n">
        <x:f>SUM(D5:D7)</x:f>
        <x:v>0</x:v>
      </x:c>
      <x:c r="E8" s="55" t="n">
        <x:f>SUM(E5:E7)</x:f>
        <x:v>0</x:v>
      </x:c>
      <x:c r="F8" s="55" t="n">
        <x:f>SUM(F5:F7)</x:f>
        <x:v>109</x:v>
      </x:c>
      <x:c r="G8" s="55" t="n">
        <x:f>SUM(G5:G7)</x:f>
        <x:v>0</x:v>
      </x:c>
    </x:row>
    <x:row r="11">
      <x:c r="A11" s="56" t="str">
        <x:v>Mode d’emploi</x:v>
      </x:c>
      <x:c r="B11" s="56"/>
      <x:c r="C11" s="56"/>
      <x:c r="D11" s="56"/>
      <x:c r="E11" s="56"/>
      <x:c r="F11" s="56"/>
      <x:c r="G11" s="56"/>
      <x:c r="H11" s="56"/>
    </x:row>
    <x:row r="12">
      <x:c r="A12" s="58" t="str">
        <x:v>1.</x:v>
      </x:c>
      <x:c r="B12" s="58" t="str">
        <x:v>Filtrer une feuille par série, désignation ou cote absente.</x:v>
      </x:c>
      <x:c r="C12" s="58"/>
      <x:c r="D12" s="58"/>
      <x:c r="E12" s="58"/>
      <x:c r="F12" s="58"/>
      <x:c r="G12" s="58"/>
      <x:c r="H12" s="58"/>
    </x:row>
    <x:row r="13">
      <x:c r="A13" s="58" t="str">
        <x:v>2.</x:v>
      </x:c>
      <x:c r="B13" s="58" t="str">
        <x:v>Comparer la valeur DB à la ligne exacte du PDF, avec la bonne polarité et le bon montage.</x:v>
      </x:c>
      <x:c r="C13" s="58"/>
      <x:c r="D13" s="58"/>
      <x:c r="E13" s="58"/>
      <x:c r="F13" s="58"/>
      <x:c r="G13" s="58"/>
      <x:c r="H13" s="58"/>
    </x:row>
    <x:row r="14">
      <x:c r="A14" s="58" t="str">
        <x:v>3.</x:v>
      </x:c>
      <x:c r="B14" s="58" t="str">
        <x:v>Saisir la valeur vérifiée dans la colonne jaune adjacente, sans modifier la colonne DB.</x:v>
      </x:c>
      <x:c r="C14" s="58"/>
      <x:c r="D14" s="58"/>
      <x:c r="E14" s="58"/>
      <x:c r="F14" s="58"/>
      <x:c r="G14" s="58"/>
      <x:c r="H14" s="58"/>
    </x:row>
    <x:row r="15">
      <x:c r="A15" s="58" t="str">
        <x:v>4.</x:v>
      </x:c>
      <x:c r="B15" s="58" t="str">
        <x:v>Renseigner le PDF, la page et un commentaire si la valeur diffère ou n’est pas applicable.</x:v>
      </x:c>
      <x:c r="C15" s="58"/>
      <x:c r="D15" s="58"/>
      <x:c r="E15" s="58"/>
      <x:c r="F15" s="58"/>
      <x:c r="G15" s="58"/>
      <x:c r="H15" s="58"/>
    </x:row>
    <x:row r="16">
      <x:c r="A16" s="58" t="str">
        <x:v>5.</x:v>
      </x:c>
      <x:c r="B16" s="58" t="str">
        <x:v>Passer le statut à Confirmé, Corrigé, Non applicable ou Catalogue manquant.</x:v>
      </x:c>
      <x:c r="C16" s="58"/>
      <x:c r="D16" s="58"/>
      <x:c r="E16" s="58"/>
      <x:c r="F16" s="58"/>
      <x:c r="G16" s="58"/>
      <x:c r="H16" s="58"/>
    </x:row>
  </x:sheetData>
  <x:mergeCells>
    <x:mergeCell ref="A1:H1"/>
    <x:mergeCell ref="A2:H2"/>
    <x:mergeCell ref="A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56" hidden="0" customWidth="1"/>
    <x:col min="4" max="4" width="18" hidden="0" customWidth="1"/>
    <x:col min="5" max="5" width="42" hidden="0" customWidth="1"/>
  </x:cols>
  <x:sheetData>
    <x:row r="1">
      <x:c r="A1" s="2" t="str">
        <x:v>Glossaire des cotes utilisées dans le classeur</x:v>
      </x:c>
      <x:c r="B1" s="2"/>
      <x:c r="C1" s="2"/>
      <x:c r="D1" s="2"/>
      <x:c r="E1" s="2"/>
    </x:row>
    <x:row r="2" ht="42" customHeight="1">
      <x:c r="A2" s="61" t="str">
        <x:v>Convention géométrique confirmée visuellement : A est transversal aux pieds et B longitudinal, parallèle à l’arbre. Les anciens libellés DB A/B doivent être corrigés.</x:v>
      </x:c>
      <x:c r="B2" s="61"/>
      <x:c r="C2" s="61"/>
      <x:c r="D2" s="61"/>
      <x:c r="E2" s="61"/>
    </x:row>
    <x:row r="4">
      <x:c r="A4" s="40" t="str">
        <x:v>Code</x:v>
      </x:c>
      <x:c r="B4" s="40" t="str">
        <x:v>Famille</x:v>
      </x:c>
      <x:c r="C4" s="40" t="str">
        <x:v>Définition</x:v>
      </x:c>
      <x:c r="D4" s="40" t="str">
        <x:v>Unité/format</x:v>
      </x:c>
      <x:c r="E4" s="40" t="str">
        <x:v>Règle de fiabilité</x:v>
      </x:c>
    </x:row>
    <x:row r="5">
      <x:c r="A5" s="41" t="str">
        <x:v>A</x:v>
      </x:c>
      <x:c r="B5" s="41" t="str">
        <x:v>Pieds</x:v>
      </x:c>
      <x:c r="C5" s="43" t="str">
        <x:v>Entraxe transversal des trous de fixation des pieds</x:v>
      </x:c>
      <x:c r="D5" s="43" t="str">
        <x:v>mm</x:v>
      </x:c>
      <x:c r="E5" s="43" t="str">
        <x:v>Ne pas confondre avec B</x:v>
      </x:c>
    </x:row>
    <x:row r="6">
      <x:c r="A6" s="41" t="str">
        <x:v>B</x:v>
      </x:c>
      <x:c r="B6" s="41" t="str">
        <x:v>Pieds</x:v>
      </x:c>
      <x:c r="C6" s="43" t="str">
        <x:v>Entraxe longitudinal des trous de fixation, parallèle à l’arbre</x:v>
      </x:c>
      <x:c r="D6" s="43" t="str">
        <x:v>mm</x:v>
      </x:c>
      <x:c r="E6" s="43" t="str">
        <x:v>Peut varier avec S/M/L</x:v>
      </x:c>
    </x:row>
    <x:row r="7">
      <x:c r="A7" s="41" t="str">
        <x:v>C</x:v>
      </x:c>
      <x:c r="B7" s="41" t="str">
        <x:v>Pieds</x:v>
      </x:c>
      <x:c r="C7" s="43" t="str">
        <x:v>Distance axiale entre le plan de référence côté arbre et la première ligne de fixation</x:v>
      </x:c>
      <x:c r="D7" s="43" t="str">
        <x:v>mm</x:v>
      </x:c>
      <x:c r="E7" s="43" t="str">
        <x:v>Lire sur le plan du montage</x:v>
      </x:c>
    </x:row>
    <x:row r="8">
      <x:c r="A8" s="41" t="str">
        <x:v>H</x:v>
      </x:c>
      <x:c r="B8" s="41" t="str">
        <x:v>Pieds</x:v>
      </x:c>
      <x:c r="C8" s="43" t="str">
        <x:v>Hauteur entre le plan d’appui et l’axe de l’arbre</x:v>
      </x:c>
      <x:c r="D8" s="43" t="str">
        <x:v>mm</x:v>
      </x:c>
      <x:c r="E8" s="43" t="str">
        <x:v>Hauteur d’axe IEC</x:v>
      </x:c>
    </x:row>
    <x:row r="9">
      <x:c r="A9" s="41" t="str">
        <x:v>K</x:v>
      </x:c>
      <x:c r="B9" s="41" t="str">
        <x:v>Pieds</x:v>
      </x:c>
      <x:c r="C9" s="43" t="str">
        <x:v>Diamètre publié du trou de fixation du pied</x:v>
      </x:c>
      <x:c r="D9" s="43" t="str">
        <x:v>mm</x:v>
      </x:c>
      <x:c r="E9" s="43" t="str">
        <x:v>Ce n’est pas le diamètre réel du boulon</x:v>
      </x:c>
    </x:row>
    <x:row r="10">
      <x:c r="A10" s="41" t="str">
        <x:v>D</x:v>
      </x:c>
      <x:c r="B10" s="41" t="str">
        <x:v>Arbre DE</x:v>
      </x:c>
      <x:c r="C10" s="43" t="str">
        <x:v>Diamètre du bout d’arbre principal</x:v>
      </x:c>
      <x:c r="D10" s="43" t="str">
        <x:v>mm</x:v>
      </x:c>
      <x:c r="E10" s="43" t="str">
        <x:v>Dépend parfois de la polarité</x:v>
      </x:c>
    </x:row>
    <x:row r="11">
      <x:c r="A11" s="41" t="str">
        <x:v>E</x:v>
      </x:c>
      <x:c r="B11" s="41" t="str">
        <x:v>Arbre DE</x:v>
      </x:c>
      <x:c r="C11" s="43" t="str">
        <x:v>Longueur utile du bout d’arbre principal depuis l’épaulement</x:v>
      </x:c>
      <x:c r="D11" s="43" t="str">
        <x:v>mm</x:v>
      </x:c>
      <x:c r="E11" s="43" t="str">
        <x:v>Dépend parfois de la polarité</x:v>
      </x:c>
    </x:row>
    <x:row r="12">
      <x:c r="A12" s="41" t="str">
        <x:v>F</x:v>
      </x:c>
      <x:c r="B12" s="41" t="str">
        <x:v>Arbre DE</x:v>
      </x:c>
      <x:c r="C12" s="43" t="str">
        <x:v>Largeur de clavette du bout d’arbre principal</x:v>
      </x:c>
      <x:c r="D12" s="43" t="str">
        <x:v>mm</x:v>
      </x:c>
      <x:c r="E12" s="43" t="str">
        <x:v>Dépend parfois de la polarité</x:v>
      </x:c>
    </x:row>
    <x:row r="13">
      <x:c r="A13" s="41" t="str">
        <x:v>M</x:v>
      </x:c>
      <x:c r="B13" s="41" t="str">
        <x:v>Bride</x:v>
      </x:c>
      <x:c r="C13" s="43" t="str">
        <x:v>Diamètre du cercle d’entraxe des trous de bride</x:v>
      </x:c>
      <x:c r="D13" s="43" t="str">
        <x:v>mm</x:v>
      </x:c>
      <x:c r="E13" s="43" t="str">
        <x:v>Toujours associer au montage et au rôle</x:v>
      </x:c>
    </x:row>
    <x:row r="14">
      <x:c r="A14" s="41" t="str">
        <x:v>N</x:v>
      </x:c>
      <x:c r="B14" s="41" t="str">
        <x:v>Bride</x:v>
      </x:c>
      <x:c r="C14" s="43" t="str">
        <x:v>Diamètre de centrage ou d’emboîtement</x:v>
      </x:c>
      <x:c r="D14" s="43" t="str">
        <x:v>mm</x:v>
      </x:c>
      <x:c r="E14" s="43" t="str">
        <x:v>Ne pas déduire depuis la hauteur d’axe</x:v>
      </x:c>
    </x:row>
    <x:row r="15">
      <x:c r="A15" s="41" t="str">
        <x:v>P</x:v>
      </x:c>
      <x:c r="B15" s="41" t="str">
        <x:v>Bride</x:v>
      </x:c>
      <x:c r="C15" s="43" t="str">
        <x:v>Diamètre extérieur de la bride</x:v>
      </x:c>
      <x:c r="D15" s="43" t="str">
        <x:v>mm</x:v>
      </x:c>
      <x:c r="E15" s="43" t="str">
        <x:v>Ne pas déduire depuis la hauteur d’axe</x:v>
      </x:c>
    </x:row>
    <x:row r="16">
      <x:c r="A16" s="41" t="str">
        <x:v>S</x:v>
      </x:c>
      <x:c r="B16" s="41" t="str">
        <x:v>Bride</x:v>
      </x:c>
      <x:c r="C16" s="43" t="str">
        <x:v>Diamètre du trou traversant ou désignation du filetage</x:v>
      </x:c>
      <x:c r="D16" s="43" t="str">
        <x:v>mm ou filetage</x:v>
      </x:c>
      <x:c r="E16" s="43" t="str">
        <x:v>Conserver M5/M6/etc. comme texte</x:v>
      </x:c>
    </x:row>
    <x:row r="17">
      <x:c r="A17" s="41" t="str">
        <x:v>T</x:v>
      </x:c>
      <x:c r="B17" s="41" t="str">
        <x:v>Bride</x:v>
      </x:c>
      <x:c r="C17" s="43" t="str">
        <x:v>Épaisseur ou profondeur publiée de la bride</x:v>
      </x:c>
      <x:c r="D17" s="43" t="str">
        <x:v>mm</x:v>
      </x:c>
      <x:c r="E17" s="43" t="str">
        <x:v>Respecter la définition du catalogue</x:v>
      </x:c>
    </x:row>
    <x:row r="18">
      <x:c r="A18" s="42" t="str">
        <x:v>Z</x:v>
      </x:c>
      <x:c r="B18" s="42" t="str">
        <x:v>Bride</x:v>
      </x:c>
      <x:c r="C18" s="44" t="str">
        <x:v>Nombre de trous de fixation</x:v>
      </x:c>
      <x:c r="D18" s="44" t="str">
        <x:v>entier</x:v>
      </x:c>
      <x:c r="E18" s="44" t="str">
        <x:v>Ne pas confondre avec le diamètre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8" hidden="0" customWidth="1"/>
    <x:col min="4" max="4" width="10" hidden="0" customWidth="1"/>
    <x:col min="5" max="5" width="68" hidden="0" customWidth="1"/>
    <x:col min="6" max="6" width="68" hidden="0" customWidth="1"/>
  </x:cols>
  <x:sheetData>
    <x:row r="1">
      <x:c r="A1" s="2" t="str">
        <x:v>Documents fabricant du lot C2c</x:v>
      </x:c>
      <x:c r="B1" s="2"/>
      <x:c r="C1" s="2"/>
      <x:c r="D1" s="2"/>
      <x:c r="E1" s="2"/>
      <x:c r="F1" s="2"/>
    </x:row>
    <x:row r="3">
      <x:c r="A3" s="40" t="str">
        <x:v>Marque</x:v>
      </x:c>
      <x:c r="B3" s="40" t="str">
        <x:v>Fichier</x:v>
      </x:c>
      <x:c r="C3" s="40" t="str">
        <x:v>Édition</x:v>
      </x:c>
      <x:c r="D3" s="40" t="str">
        <x:v>Pages</x:v>
      </x:c>
      <x:c r="E3" s="40" t="str">
        <x:v>SHA-256</x:v>
      </x:c>
      <x:c r="F3" s="40" t="str">
        <x:v>Chemin local</x:v>
      </x:c>
    </x:row>
    <x:row r="4">
      <x:c r="A4" s="41" t="str">
        <x:v>Leroy-Somer</x:v>
      </x:c>
      <x:c r="B4" s="43" t="str">
        <x:v>Catalogue_LS_LSES.pdf</x:v>
      </x:c>
      <x:c r="C4" s="43" t="str">
        <x:v>5147 fr - 2023.08 / j</x:v>
      </x:c>
      <x:c r="D4" s="43" t="n">
        <x:v>152</x:v>
      </x:c>
      <x:c r="E4" s="43" t="str">
        <x:v>ffa793276192285829afce0c4adb1c164cd62516e60b514f0eae91be5ce6176c</x:v>
      </x:c>
      <x:c r="F4" s="43" t="str">
        <x:v>C:\GitHub\CIR_Moteur\Catalogue fabricant\Catalogue_LS_LSES.pdf</x:v>
      </x:c>
    </x:row>
    <x:row r="5">
      <x:c r="A5" s="41" t="str">
        <x:v>Bonfiglioli</x:v>
      </x:c>
      <x:c r="B5" s="43" t="str">
        <x:v>Catalogue_BONFIGLIOLI_Moteur.pdf</x:v>
      </x:c>
      <x:c r="C5" s="43" t="str">
        <x:v>Non publiée</x:v>
      </x:c>
      <x:c r="D5" s="43" t="n">
        <x:v>118</x:v>
      </x:c>
      <x:c r="E5" s="43" t="str">
        <x:v>99a9706509d9042361778e8da704871e25b44e2a65503d4bec9713abc1cffe11</x:v>
      </x:c>
      <x:c r="F5" s="43" t="str">
        <x:v>C:\GitHub\CIR_Moteur\Catalogue fabricant\Catalogue_BONFIGLIOLI_Moteur.pdf</x:v>
      </x:c>
    </x:row>
    <x:row r="6">
      <x:c r="A6" s="41" t="str">
        <x:v>Innomotics</x:v>
      </x:c>
      <x:c r="B6" s="43" t="str">
        <x:v>Catalogue_Moteur_Innomotics.pdf</x:v>
      </x:c>
      <x:c r="C6" s="43" t="str">
        <x:v>Catalog D 81.1 - Edition 02/2026</x:v>
      </x:c>
      <x:c r="D6" s="43" t="n">
        <x:v>768</x:v>
      </x:c>
      <x:c r="E6" s="43" t="str">
        <x:v>6b61767f9307ccbae50cf5f6e2ab7c9ec9d0fc908de76d4585f9a258349cf113</x:v>
      </x:c>
      <x:c r="F6" s="43" t="str">
        <x:v>C:\GitHub\CIR_Moteur\Catalogue fabricant\Catalogue_Moteur_Innomotics.pdf</x:v>
      </x:c>
    </x:row>
    <x:row r="7">
      <x:c r="A7" s="41" t="str">
        <x:v>Leroy-Somer</x:v>
      </x:c>
      <x:c r="B7" s="43" t="str">
        <x:v>LSHRM_Leroy-Somer.pdf</x:v>
      </x:c>
      <x:c r="C7" s="43" t="str">
        <x:v>5729 fr - 2020.03 / a</x:v>
      </x:c>
      <x:c r="D7" s="43" t="n">
        <x:v>76</x:v>
      </x:c>
      <x:c r="E7" s="43" t="str">
        <x:v>a4e7a40d29d478f44ad2cdc4014994414f23046b8759f120509b930381605099</x:v>
      </x:c>
      <x:c r="F7" s="43" t="str">
        <x:v>C:\GitHub\CIR_Moteur\Catalogue fabricant\LSHRM_Leroy-Somer.pdf</x:v>
      </x:c>
    </x:row>
    <x:row r="8">
      <x:c r="A8" s="41" t="str">
        <x:v>Leroy-Somer</x:v>
      </x:c>
      <x:c r="B8" s="43" t="str">
        <x:v>Dyneo   IE5.pdf</x:v>
      </x:c>
      <x:c r="C8" s="43" t="str">
        <x:v>5842 fr - 2020.05 / d</x:v>
      </x:c>
      <x:c r="D8" s="43" t="n">
        <x:v>54</x:v>
      </x:c>
      <x:c r="E8" s="43" t="str">
        <x:v>90b8f8c30795e186a529a12941fbf979af5e67b5042917d0a38054e58feb52ab</x:v>
      </x:c>
      <x:c r="F8" s="43" t="str">
        <x:v>C:\GitHub\CIR_Moteur\Catalogue fabricant\Dyneo   IE5.pdf</x:v>
      </x:c>
    </x:row>
    <x:row r="9">
      <x:c r="A9" s="42" t="str">
        <x:v>Leroy-Somer</x:v>
      </x:c>
      <x:c r="B9" s="44" t="str">
        <x:v>6154c_fr_CILS_IE4.pdf</x:v>
      </x:c>
      <x:c r="C9" s="44" t="str">
        <x:v>6154c fr - 2025</x:v>
      </x:c>
      <x:c r="D9" s="44" t="n">
        <x:v>20</x:v>
      </x:c>
      <x:c r="E9" s="44" t="str">
        <x:v>d87acd540676d324b9ca812700b16935e6a8033aea7719e893f63c694217c7f4</x:v>
      </x:c>
      <x:c r="F9" s="44" t="str">
        <x:v>C:\GitHub\CIR_Moteur\Catalogue fabricant\Leroy_Somer_catalogues_moteurs\6154c_fr_CILS_IE4.pdf</x:v>
      </x:c>
    </x:row>
  </x:sheetData>
  <x:mergeCells>
    <x:mergeCell ref="A1:F1"/>
  </x:mergeCells>
  <x:pageMargins left="0.7" right="0.7" top="0.75" bottom="0.75" header="0.3" footer="0.3"/>
</x:worksheet>
</file>